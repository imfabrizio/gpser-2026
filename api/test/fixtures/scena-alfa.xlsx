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codeName="Questa_cartella_di_lavoro" defaultThemeVersion="166925"/>
  <xr:revisionPtr revIDLastSave="0" documentId="8_{61AFB5DE-73BF-41CE-898F-5A7F76F80B02}" xr6:coauthVersionLast="47" xr6:coauthVersionMax="47" xr10:uidLastSave="{00000000-0000-0000-0000-000000000000}"/>
  <bookViews>
    <workbookView xWindow="-110" yWindow="-110" windowWidth="38620" windowHeight="21100" tabRatio="826" firstSheet="18" activeTab="18" xr2:uid="{00000000-000D-0000-FFFF-FFFF00000000}"/>
  </bookViews>
  <sheets>
    <sheet name="CONTROLLO" sheetId="1" r:id="rId1"/>
    <sheet name="Valutazioni" sheetId="17" r:id="rId2"/>
    <sheet name="APP_ITEMS" sheetId="2" r:id="rId3"/>
    <sheet name="APP_DATA" sheetId="3" r:id="rId4"/>
    <sheet name="STAMPA_SCENA" sheetId="16" r:id="rId5"/>
    <sheet name="MAP_SCENA" sheetId="19" r:id="rId6"/>
    <sheet name="CLASSIFICA" sheetId="20" r:id="rId7"/>
    <sheet name="DATI_OLD" sheetId="21" state="hidden" r:id="rId8"/>
    <sheet name="DATI" sheetId="4" r:id="rId9"/>
    <sheet name="Calcolo Master" sheetId="5" r:id="rId10"/>
    <sheet name="Calcolo PBLS" sheetId="6" r:id="rId11"/>
    <sheet name="Calcolo Overdose" sheetId="8" r:id="rId12"/>
    <sheet name="Calcolo TC" sheetId="7" r:id="rId13"/>
    <sheet name="Calcolo Asma" sheetId="9" r:id="rId14"/>
    <sheet name="Stampa Master" sheetId="10" r:id="rId15"/>
    <sheet name="Stampa PBLS" sheetId="22" r:id="rId16"/>
    <sheet name="Stampa Overdose" sheetId="13" r:id="rId17"/>
    <sheet name="Stampa TC" sheetId="12" r:id="rId18"/>
    <sheet name="Stampa Asma" sheetId="14" r:id="rId19"/>
  </sheets>
  <definedNames>
    <definedName name="LAD">'Calcolo Master'!$AG:$AG</definedName>
    <definedName name="lstTipoValutazione" localSheetId="7">tblValutazioni[TipoValutazione]</definedName>
    <definedName name="lstTipoValutazione" localSheetId="15">tblValutazioni[TipoValutazione]</definedName>
    <definedName name="lstTipoValutazione">tblValutazioni[TipoValutazione]</definedName>
    <definedName name="_xlnm.Print_Area" localSheetId="18">'Stampa Asma'!$A$1:$J$46</definedName>
    <definedName name="_xlnm.Print_Area" localSheetId="14">'Stampa Master'!$A$1:$J$54</definedName>
    <definedName name="_xlnm.Print_Area" localSheetId="16">'Stampa Overdose'!$A$1:$J$46</definedName>
    <definedName name="_xlnm.Print_Area" localSheetId="15">'Stampa PBLS'!$A$1:$J$46</definedName>
    <definedName name="_xlnm.Print_Area" localSheetId="17">'Stampa TC'!$A$1:$J$47</definedName>
    <definedName name="ScenaAttiva">CONTROLLO!$B$9</definedName>
    <definedName name="SquadraAttiva">CONTROLLO!$B$8</definedName>
    <definedName name="StampaSchedeVuote">CONTROLLO!#REF!</definedName>
    <definedName name="TitoloScenaAttivo">CONTROLLO!$B$10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4" l="1"/>
  <c r="C11" i="12"/>
  <c r="C11" i="13"/>
  <c r="C11" i="22"/>
  <c r="C11" i="10"/>
  <c r="A19" i="14"/>
  <c r="F19" i="14"/>
  <c r="G19" i="14"/>
  <c r="H19" i="14"/>
  <c r="I19" i="14"/>
  <c r="J19" i="14"/>
  <c r="A20" i="14"/>
  <c r="F20" i="14"/>
  <c r="G20" i="14"/>
  <c r="H20" i="14"/>
  <c r="I20" i="14"/>
  <c r="J20" i="14"/>
  <c r="A21" i="14"/>
  <c r="F21" i="14"/>
  <c r="G21" i="14"/>
  <c r="H21" i="14"/>
  <c r="I21" i="14"/>
  <c r="J21" i="14"/>
  <c r="A22" i="14"/>
  <c r="F22" i="14"/>
  <c r="G22" i="14"/>
  <c r="H22" i="14"/>
  <c r="I22" i="14"/>
  <c r="J22" i="14"/>
  <c r="A23" i="14"/>
  <c r="F23" i="14"/>
  <c r="G23" i="14"/>
  <c r="H23" i="14"/>
  <c r="I23" i="14"/>
  <c r="J23" i="14"/>
  <c r="A24" i="14"/>
  <c r="F24" i="14"/>
  <c r="G24" i="14"/>
  <c r="H24" i="14"/>
  <c r="I24" i="14"/>
  <c r="J24" i="14"/>
  <c r="A25" i="14"/>
  <c r="F25" i="14"/>
  <c r="G25" i="14"/>
  <c r="H25" i="14"/>
  <c r="I25" i="14"/>
  <c r="J25" i="14"/>
  <c r="A26" i="14"/>
  <c r="F26" i="14"/>
  <c r="G26" i="14"/>
  <c r="H26" i="14"/>
  <c r="I26" i="14"/>
  <c r="J26" i="14"/>
  <c r="A27" i="14"/>
  <c r="F27" i="14"/>
  <c r="G27" i="14"/>
  <c r="H27" i="14"/>
  <c r="I27" i="14"/>
  <c r="J27" i="14"/>
  <c r="A28" i="14"/>
  <c r="F28" i="14"/>
  <c r="G28" i="14"/>
  <c r="H28" i="14"/>
  <c r="I28" i="14"/>
  <c r="J28" i="14"/>
  <c r="A29" i="14"/>
  <c r="F29" i="14"/>
  <c r="G29" i="14"/>
  <c r="H29" i="14"/>
  <c r="I29" i="14"/>
  <c r="J29" i="14"/>
  <c r="A30" i="14"/>
  <c r="F30" i="14"/>
  <c r="G30" i="14"/>
  <c r="H30" i="14"/>
  <c r="I30" i="14"/>
  <c r="J30" i="14"/>
  <c r="A31" i="14"/>
  <c r="F31" i="14"/>
  <c r="G31" i="14"/>
  <c r="H31" i="14"/>
  <c r="I31" i="14"/>
  <c r="J31" i="14"/>
  <c r="A32" i="14"/>
  <c r="F32" i="14"/>
  <c r="G32" i="14"/>
  <c r="H32" i="14"/>
  <c r="I32" i="14"/>
  <c r="J32" i="14"/>
  <c r="A33" i="14"/>
  <c r="F33" i="14"/>
  <c r="G33" i="14"/>
  <c r="H33" i="14"/>
  <c r="I33" i="14"/>
  <c r="J33" i="14"/>
  <c r="A34" i="14"/>
  <c r="F34" i="14"/>
  <c r="G34" i="14"/>
  <c r="H34" i="14"/>
  <c r="I34" i="14"/>
  <c r="J34" i="14"/>
  <c r="A35" i="14"/>
  <c r="F35" i="14"/>
  <c r="G35" i="14"/>
  <c r="H35" i="14"/>
  <c r="I35" i="14"/>
  <c r="J35" i="14"/>
  <c r="A36" i="14"/>
  <c r="F36" i="14"/>
  <c r="G36" i="14"/>
  <c r="H36" i="14"/>
  <c r="I36" i="14"/>
  <c r="J36" i="14"/>
  <c r="A37" i="14"/>
  <c r="F37" i="14"/>
  <c r="G37" i="14"/>
  <c r="H37" i="14"/>
  <c r="I37" i="14"/>
  <c r="J37" i="14"/>
  <c r="A38" i="14"/>
  <c r="F38" i="14"/>
  <c r="G38" i="14"/>
  <c r="H38" i="14"/>
  <c r="I38" i="14"/>
  <c r="J38" i="14"/>
  <c r="A39" i="14"/>
  <c r="F39" i="14"/>
  <c r="G39" i="14"/>
  <c r="H39" i="14"/>
  <c r="I39" i="14"/>
  <c r="J39" i="14"/>
  <c r="A40" i="14"/>
  <c r="F40" i="14"/>
  <c r="G40" i="14"/>
  <c r="H40" i="14"/>
  <c r="I40" i="14"/>
  <c r="J40" i="14"/>
  <c r="A41" i="12"/>
  <c r="F41" i="12"/>
  <c r="G41" i="12"/>
  <c r="H41" i="12"/>
  <c r="I41" i="12"/>
  <c r="J41" i="12"/>
  <c r="A42" i="12"/>
  <c r="F42" i="12"/>
  <c r="G42" i="12"/>
  <c r="H42" i="12"/>
  <c r="I42" i="12"/>
  <c r="J42" i="12"/>
  <c r="A19" i="12"/>
  <c r="F19" i="12"/>
  <c r="G19" i="12"/>
  <c r="H19" i="12"/>
  <c r="I19" i="12"/>
  <c r="J19" i="12"/>
  <c r="A20" i="12"/>
  <c r="F20" i="12"/>
  <c r="G20" i="12"/>
  <c r="H20" i="12"/>
  <c r="I20" i="12"/>
  <c r="J20" i="12"/>
  <c r="A21" i="12"/>
  <c r="F21" i="12"/>
  <c r="G21" i="12"/>
  <c r="H21" i="12"/>
  <c r="I21" i="12"/>
  <c r="J21" i="12"/>
  <c r="A22" i="12"/>
  <c r="F22" i="12"/>
  <c r="G22" i="12"/>
  <c r="H22" i="12"/>
  <c r="I22" i="12"/>
  <c r="J22" i="12"/>
  <c r="A23" i="12"/>
  <c r="F23" i="12"/>
  <c r="G23" i="12"/>
  <c r="H23" i="12"/>
  <c r="I23" i="12"/>
  <c r="J23" i="12"/>
  <c r="A24" i="12"/>
  <c r="F24" i="12"/>
  <c r="G24" i="12"/>
  <c r="H24" i="12"/>
  <c r="I24" i="12"/>
  <c r="J24" i="12"/>
  <c r="A25" i="12"/>
  <c r="F25" i="12"/>
  <c r="G25" i="12"/>
  <c r="H25" i="12"/>
  <c r="I25" i="12"/>
  <c r="J25" i="12"/>
  <c r="A26" i="12"/>
  <c r="F26" i="12"/>
  <c r="G26" i="12"/>
  <c r="H26" i="12"/>
  <c r="I26" i="12"/>
  <c r="J26" i="12"/>
  <c r="A27" i="12"/>
  <c r="F27" i="12"/>
  <c r="G27" i="12"/>
  <c r="H27" i="12"/>
  <c r="I27" i="12"/>
  <c r="J27" i="12"/>
  <c r="A28" i="12"/>
  <c r="F28" i="12"/>
  <c r="G28" i="12"/>
  <c r="H28" i="12"/>
  <c r="I28" i="12"/>
  <c r="J28" i="12"/>
  <c r="A29" i="12"/>
  <c r="F29" i="12"/>
  <c r="G29" i="12"/>
  <c r="H29" i="12"/>
  <c r="I29" i="12"/>
  <c r="J29" i="12"/>
  <c r="A30" i="12"/>
  <c r="F30" i="12"/>
  <c r="G30" i="12"/>
  <c r="H30" i="12"/>
  <c r="I30" i="12"/>
  <c r="J30" i="12"/>
  <c r="A31" i="12"/>
  <c r="F31" i="12"/>
  <c r="G31" i="12"/>
  <c r="H31" i="12"/>
  <c r="I31" i="12"/>
  <c r="J31" i="12"/>
  <c r="A32" i="12"/>
  <c r="F32" i="12"/>
  <c r="G32" i="12"/>
  <c r="H32" i="12"/>
  <c r="I32" i="12"/>
  <c r="J32" i="12"/>
  <c r="A33" i="12"/>
  <c r="F33" i="12"/>
  <c r="G33" i="12"/>
  <c r="H33" i="12"/>
  <c r="I33" i="12"/>
  <c r="J33" i="12"/>
  <c r="A34" i="12"/>
  <c r="F34" i="12"/>
  <c r="G34" i="12"/>
  <c r="H34" i="12"/>
  <c r="I34" i="12"/>
  <c r="J34" i="12"/>
  <c r="A35" i="12"/>
  <c r="F35" i="12"/>
  <c r="G35" i="12"/>
  <c r="H35" i="12"/>
  <c r="I35" i="12"/>
  <c r="J35" i="12"/>
  <c r="A36" i="12"/>
  <c r="F36" i="12"/>
  <c r="G36" i="12"/>
  <c r="H36" i="12"/>
  <c r="I36" i="12"/>
  <c r="J36" i="12"/>
  <c r="A37" i="12"/>
  <c r="F37" i="12"/>
  <c r="G37" i="12"/>
  <c r="H37" i="12"/>
  <c r="I37" i="12"/>
  <c r="J37" i="12"/>
  <c r="A38" i="12"/>
  <c r="F38" i="12"/>
  <c r="G38" i="12"/>
  <c r="H38" i="12"/>
  <c r="I38" i="12"/>
  <c r="J38" i="12"/>
  <c r="A39" i="12"/>
  <c r="F39" i="12"/>
  <c r="G39" i="12"/>
  <c r="H39" i="12"/>
  <c r="I39" i="12"/>
  <c r="J39" i="12"/>
  <c r="A40" i="12"/>
  <c r="F40" i="12"/>
  <c r="G40" i="12"/>
  <c r="H40" i="12"/>
  <c r="I40" i="12"/>
  <c r="J40" i="12"/>
  <c r="A19" i="13"/>
  <c r="F19" i="13"/>
  <c r="G19" i="13"/>
  <c r="H19" i="13"/>
  <c r="I19" i="13"/>
  <c r="J19" i="13"/>
  <c r="A20" i="13"/>
  <c r="F20" i="13"/>
  <c r="G20" i="13"/>
  <c r="H20" i="13"/>
  <c r="I20" i="13"/>
  <c r="J20" i="13"/>
  <c r="A21" i="13"/>
  <c r="F21" i="13"/>
  <c r="G21" i="13"/>
  <c r="H21" i="13"/>
  <c r="I21" i="13"/>
  <c r="J21" i="13"/>
  <c r="A22" i="13"/>
  <c r="F22" i="13"/>
  <c r="G22" i="13"/>
  <c r="H22" i="13"/>
  <c r="I22" i="13"/>
  <c r="J22" i="13"/>
  <c r="A23" i="13"/>
  <c r="F23" i="13"/>
  <c r="G23" i="13"/>
  <c r="H23" i="13"/>
  <c r="I23" i="13"/>
  <c r="J23" i="13"/>
  <c r="A24" i="13"/>
  <c r="F24" i="13"/>
  <c r="G24" i="13"/>
  <c r="H24" i="13"/>
  <c r="I24" i="13"/>
  <c r="J24" i="13"/>
  <c r="A25" i="13"/>
  <c r="F25" i="13"/>
  <c r="G25" i="13"/>
  <c r="H25" i="13"/>
  <c r="I25" i="13"/>
  <c r="J25" i="13"/>
  <c r="A26" i="13"/>
  <c r="F26" i="13"/>
  <c r="G26" i="13"/>
  <c r="H26" i="13"/>
  <c r="I26" i="13"/>
  <c r="J26" i="13"/>
  <c r="A27" i="13"/>
  <c r="F27" i="13"/>
  <c r="G27" i="13"/>
  <c r="H27" i="13"/>
  <c r="I27" i="13"/>
  <c r="J27" i="13"/>
  <c r="A28" i="13"/>
  <c r="F28" i="13"/>
  <c r="G28" i="13"/>
  <c r="H28" i="13"/>
  <c r="I28" i="13"/>
  <c r="J28" i="13"/>
  <c r="A29" i="13"/>
  <c r="F29" i="13"/>
  <c r="G29" i="13"/>
  <c r="H29" i="13"/>
  <c r="I29" i="13"/>
  <c r="J29" i="13"/>
  <c r="A30" i="13"/>
  <c r="F30" i="13"/>
  <c r="G30" i="13"/>
  <c r="H30" i="13"/>
  <c r="I30" i="13"/>
  <c r="J30" i="13"/>
  <c r="A31" i="13"/>
  <c r="F31" i="13"/>
  <c r="G31" i="13"/>
  <c r="H31" i="13"/>
  <c r="I31" i="13"/>
  <c r="J31" i="13"/>
  <c r="A32" i="13"/>
  <c r="F32" i="13"/>
  <c r="G32" i="13"/>
  <c r="H32" i="13"/>
  <c r="I32" i="13"/>
  <c r="J32" i="13"/>
  <c r="A33" i="13"/>
  <c r="F33" i="13"/>
  <c r="G33" i="13"/>
  <c r="H33" i="13"/>
  <c r="I33" i="13"/>
  <c r="J33" i="13"/>
  <c r="A34" i="13"/>
  <c r="F34" i="13"/>
  <c r="G34" i="13"/>
  <c r="H34" i="13"/>
  <c r="I34" i="13"/>
  <c r="J34" i="13"/>
  <c r="A35" i="13"/>
  <c r="F35" i="13"/>
  <c r="G35" i="13"/>
  <c r="H35" i="13"/>
  <c r="I35" i="13"/>
  <c r="J35" i="13"/>
  <c r="A36" i="13"/>
  <c r="F36" i="13"/>
  <c r="G36" i="13"/>
  <c r="H36" i="13"/>
  <c r="I36" i="13"/>
  <c r="J36" i="13"/>
  <c r="A37" i="13"/>
  <c r="F37" i="13"/>
  <c r="G37" i="13"/>
  <c r="H37" i="13"/>
  <c r="I37" i="13"/>
  <c r="J37" i="13"/>
  <c r="A38" i="13"/>
  <c r="F38" i="13"/>
  <c r="G38" i="13"/>
  <c r="H38" i="13"/>
  <c r="I38" i="13"/>
  <c r="J38" i="13"/>
  <c r="A39" i="13"/>
  <c r="F39" i="13"/>
  <c r="G39" i="13"/>
  <c r="H39" i="13"/>
  <c r="I39" i="13"/>
  <c r="J39" i="13"/>
  <c r="A40" i="13"/>
  <c r="F40" i="13"/>
  <c r="G40" i="13"/>
  <c r="H40" i="13"/>
  <c r="I40" i="13"/>
  <c r="J40" i="13"/>
  <c r="C2" i="20"/>
  <c r="B9" i="1"/>
  <c r="A25" i="1"/>
  <c r="B25" i="1"/>
  <c r="D25" i="1"/>
  <c r="E25" i="1"/>
  <c r="F25" i="1"/>
  <c r="A24" i="1"/>
  <c r="B24" i="1"/>
  <c r="D24" i="1"/>
  <c r="E24" i="1"/>
  <c r="F24" i="1"/>
  <c r="A23" i="1"/>
  <c r="B23" i="1"/>
  <c r="D23" i="1"/>
  <c r="E23" i="1"/>
  <c r="F23" i="1"/>
  <c r="A22" i="1"/>
  <c r="B22" i="1"/>
  <c r="D22" i="1"/>
  <c r="E22" i="1"/>
  <c r="F22" i="1"/>
  <c r="B21" i="1"/>
  <c r="F21" i="1"/>
  <c r="E21" i="1"/>
  <c r="D21" i="1"/>
  <c r="A21" i="1"/>
  <c r="C3" i="20"/>
  <c r="C4" i="20"/>
  <c r="C5" i="20"/>
  <c r="C6" i="20"/>
  <c r="D2" i="20"/>
  <c r="D3" i="20"/>
  <c r="D4" i="20"/>
  <c r="D5" i="20"/>
  <c r="D6" i="20"/>
  <c r="E2" i="20"/>
  <c r="E3" i="20"/>
  <c r="E4" i="20"/>
  <c r="E5" i="20"/>
  <c r="E6" i="20"/>
  <c r="F2" i="20"/>
  <c r="F3" i="20"/>
  <c r="F4" i="20"/>
  <c r="F5" i="20"/>
  <c r="F6" i="20"/>
  <c r="G2" i="20"/>
  <c r="G3" i="20"/>
  <c r="G4" i="20"/>
  <c r="G5" i="20"/>
  <c r="G6" i="20"/>
  <c r="H2" i="20"/>
  <c r="H3" i="20"/>
  <c r="H4" i="20"/>
  <c r="H5" i="20"/>
  <c r="H6" i="20"/>
  <c r="I2" i="20"/>
  <c r="I3" i="20"/>
  <c r="I4" i="20"/>
  <c r="I5" i="20"/>
  <c r="I6" i="20"/>
  <c r="J2" i="20"/>
  <c r="J3" i="20"/>
  <c r="J4" i="20"/>
  <c r="J5" i="20"/>
  <c r="J6" i="20"/>
  <c r="K2" i="20"/>
  <c r="K3" i="20"/>
  <c r="K4" i="20"/>
  <c r="K5" i="20"/>
  <c r="K6" i="20"/>
  <c r="L2" i="20"/>
  <c r="L3" i="20"/>
  <c r="L4" i="20"/>
  <c r="L5" i="20"/>
  <c r="L6" i="20"/>
  <c r="M2" i="20"/>
  <c r="M3" i="20"/>
  <c r="M4" i="20"/>
  <c r="M5" i="20"/>
  <c r="M6" i="20"/>
  <c r="G9" i="13"/>
  <c r="G9" i="12"/>
  <c r="J12" i="12"/>
  <c r="I12" i="12"/>
  <c r="H12" i="12"/>
  <c r="G12" i="12"/>
  <c r="A15" i="12"/>
  <c r="A15" i="13"/>
  <c r="J12" i="13"/>
  <c r="H12" i="13"/>
  <c r="I12" i="13"/>
  <c r="G12" i="13"/>
  <c r="E10" i="12"/>
  <c r="E10" i="13"/>
  <c r="H4" i="9" a="1"/>
  <c r="H4" i="9"/>
  <c r="K4" i="9" a="1"/>
  <c r="K4" i="9"/>
  <c r="N4" i="9" a="1"/>
  <c r="N4" i="9"/>
  <c r="Q4" i="9" a="1"/>
  <c r="Q4" i="9"/>
  <c r="T4" i="9" a="1"/>
  <c r="T4" i="9"/>
  <c r="H5" i="9" a="1"/>
  <c r="H5" i="9"/>
  <c r="K5" i="9" a="1"/>
  <c r="K5" i="9"/>
  <c r="N5" i="9" a="1"/>
  <c r="N5" i="9"/>
  <c r="Q5" i="9" a="1"/>
  <c r="Q5" i="9"/>
  <c r="T5" i="9" a="1"/>
  <c r="T5" i="9"/>
  <c r="H6" i="9" a="1"/>
  <c r="H6" i="9"/>
  <c r="K6" i="9" a="1"/>
  <c r="K6" i="9"/>
  <c r="N6" i="9" a="1"/>
  <c r="N6" i="9"/>
  <c r="Q6" i="9" a="1"/>
  <c r="Q6" i="9"/>
  <c r="T6" i="9" a="1"/>
  <c r="T6" i="9"/>
  <c r="H7" i="9" a="1"/>
  <c r="H7" i="9"/>
  <c r="K7" i="9" a="1"/>
  <c r="K7" i="9"/>
  <c r="N7" i="9" a="1"/>
  <c r="N7" i="9"/>
  <c r="Q7" i="9" a="1"/>
  <c r="Q7" i="9"/>
  <c r="T7" i="9" a="1"/>
  <c r="T7" i="9"/>
  <c r="H8" i="9" a="1"/>
  <c r="H8" i="9"/>
  <c r="K8" i="9" a="1"/>
  <c r="K8" i="9"/>
  <c r="N8" i="9" a="1"/>
  <c r="N8" i="9"/>
  <c r="Q8" i="9" a="1"/>
  <c r="Q8" i="9"/>
  <c r="T8" i="9" a="1"/>
  <c r="T8" i="9"/>
  <c r="H9" i="9" a="1"/>
  <c r="H9" i="9"/>
  <c r="K9" i="9" a="1"/>
  <c r="K9" i="9"/>
  <c r="N9" i="9" a="1"/>
  <c r="N9" i="9"/>
  <c r="Q9" i="9" a="1"/>
  <c r="Q9" i="9"/>
  <c r="T9" i="9" a="1"/>
  <c r="T9" i="9"/>
  <c r="H10" i="9" a="1"/>
  <c r="H10" i="9"/>
  <c r="K10" i="9" a="1"/>
  <c r="K10" i="9"/>
  <c r="N10" i="9" a="1"/>
  <c r="N10" i="9"/>
  <c r="Q10" i="9" a="1"/>
  <c r="Q10" i="9"/>
  <c r="T10" i="9" a="1"/>
  <c r="T10" i="9"/>
  <c r="H11" i="9" a="1"/>
  <c r="H11" i="9"/>
  <c r="K11" i="9" a="1"/>
  <c r="K11" i="9"/>
  <c r="N11" i="9" a="1"/>
  <c r="N11" i="9"/>
  <c r="Q11" i="9" a="1"/>
  <c r="Q11" i="9"/>
  <c r="T11" i="9" a="1"/>
  <c r="T11" i="9"/>
  <c r="H12" i="9" a="1"/>
  <c r="H12" i="9"/>
  <c r="K12" i="9" a="1"/>
  <c r="K12" i="9"/>
  <c r="N12" i="9" a="1"/>
  <c r="N12" i="9"/>
  <c r="Q12" i="9" a="1"/>
  <c r="Q12" i="9"/>
  <c r="T12" i="9" a="1"/>
  <c r="T12" i="9"/>
  <c r="H13" i="9" a="1"/>
  <c r="H13" i="9"/>
  <c r="K13" i="9" a="1"/>
  <c r="K13" i="9"/>
  <c r="N13" i="9" a="1"/>
  <c r="N13" i="9"/>
  <c r="Q13" i="9" a="1"/>
  <c r="Q13" i="9"/>
  <c r="T13" i="9" a="1"/>
  <c r="T13" i="9"/>
  <c r="H14" i="9" a="1"/>
  <c r="H14" i="9"/>
  <c r="K14" i="9" a="1"/>
  <c r="K14" i="9"/>
  <c r="N14" i="9" a="1"/>
  <c r="N14" i="9"/>
  <c r="Q14" i="9" a="1"/>
  <c r="Q14" i="9"/>
  <c r="T14" i="9" a="1"/>
  <c r="T14" i="9"/>
  <c r="H15" i="9" a="1"/>
  <c r="H15" i="9"/>
  <c r="K15" i="9" a="1"/>
  <c r="K15" i="9"/>
  <c r="N15" i="9" a="1"/>
  <c r="N15" i="9"/>
  <c r="Q15" i="9" a="1"/>
  <c r="Q15" i="9"/>
  <c r="T15" i="9" a="1"/>
  <c r="T15" i="9"/>
  <c r="H16" i="9" a="1"/>
  <c r="H16" i="9"/>
  <c r="K16" i="9" a="1"/>
  <c r="K16" i="9"/>
  <c r="N16" i="9" a="1"/>
  <c r="N16" i="9"/>
  <c r="Q16" i="9" a="1"/>
  <c r="Q16" i="9"/>
  <c r="T16" i="9" a="1"/>
  <c r="T16" i="9"/>
  <c r="H17" i="9" a="1"/>
  <c r="H17" i="9"/>
  <c r="K17" i="9" a="1"/>
  <c r="K17" i="9"/>
  <c r="N17" i="9" a="1"/>
  <c r="N17" i="9"/>
  <c r="Q17" i="9" a="1"/>
  <c r="Q17" i="9"/>
  <c r="T17" i="9" a="1"/>
  <c r="T17" i="9"/>
  <c r="H18" i="9" a="1"/>
  <c r="H18" i="9"/>
  <c r="K18" i="9" a="1"/>
  <c r="K18" i="9"/>
  <c r="N18" i="9" a="1"/>
  <c r="N18" i="9"/>
  <c r="Q18" i="9" a="1"/>
  <c r="Q18" i="9"/>
  <c r="T18" i="9" a="1"/>
  <c r="T18" i="9"/>
  <c r="H19" i="9" a="1"/>
  <c r="H19" i="9"/>
  <c r="K19" i="9" a="1"/>
  <c r="K19" i="9"/>
  <c r="N19" i="9" a="1"/>
  <c r="N19" i="9"/>
  <c r="Q19" i="9" a="1"/>
  <c r="Q19" i="9"/>
  <c r="T19" i="9" a="1"/>
  <c r="T19" i="9"/>
  <c r="H20" i="9" a="1"/>
  <c r="H20" i="9"/>
  <c r="K20" i="9" a="1"/>
  <c r="K20" i="9"/>
  <c r="N20" i="9" a="1"/>
  <c r="N20" i="9"/>
  <c r="Q20" i="9" a="1"/>
  <c r="Q20" i="9"/>
  <c r="T20" i="9" a="1"/>
  <c r="T20" i="9"/>
  <c r="H21" i="9" a="1"/>
  <c r="H21" i="9"/>
  <c r="K21" i="9" a="1"/>
  <c r="K21" i="9"/>
  <c r="N21" i="9" a="1"/>
  <c r="N21" i="9"/>
  <c r="Q21" i="9" a="1"/>
  <c r="Q21" i="9"/>
  <c r="T21" i="9" a="1"/>
  <c r="T21" i="9"/>
  <c r="H22" i="9" a="1"/>
  <c r="H22" i="9"/>
  <c r="K22" i="9" a="1"/>
  <c r="K22" i="9"/>
  <c r="N22" i="9" a="1"/>
  <c r="N22" i="9"/>
  <c r="Q22" i="9" a="1"/>
  <c r="Q22" i="9"/>
  <c r="T22" i="9" a="1"/>
  <c r="T22" i="9"/>
  <c r="H23" i="9" a="1"/>
  <c r="H23" i="9"/>
  <c r="K23" i="9" a="1"/>
  <c r="K23" i="9"/>
  <c r="N23" i="9" a="1"/>
  <c r="N23" i="9"/>
  <c r="Q23" i="9" a="1"/>
  <c r="Q23" i="9"/>
  <c r="T23" i="9" a="1"/>
  <c r="T23" i="9"/>
  <c r="H24" i="9" a="1"/>
  <c r="H24" i="9"/>
  <c r="K24" i="9" a="1"/>
  <c r="K24" i="9"/>
  <c r="N24" i="9" a="1"/>
  <c r="N24" i="9"/>
  <c r="Q24" i="9" a="1"/>
  <c r="Q24" i="9"/>
  <c r="T24" i="9" a="1"/>
  <c r="T24" i="9"/>
  <c r="H25" i="9" a="1"/>
  <c r="H25" i="9"/>
  <c r="K25" i="9" a="1"/>
  <c r="K25" i="9"/>
  <c r="N25" i="9" a="1"/>
  <c r="N25" i="9"/>
  <c r="Q25" i="9" a="1"/>
  <c r="Q25" i="9"/>
  <c r="T25" i="9" a="1"/>
  <c r="T25" i="9"/>
  <c r="H26" i="9" a="1"/>
  <c r="H26" i="9"/>
  <c r="K26" i="9" a="1"/>
  <c r="K26" i="9"/>
  <c r="N26" i="9" a="1"/>
  <c r="N26" i="9"/>
  <c r="Q26" i="9" a="1"/>
  <c r="Q26" i="9"/>
  <c r="T26" i="9" a="1"/>
  <c r="T26" i="9"/>
  <c r="H27" i="9" a="1"/>
  <c r="H27" i="9"/>
  <c r="K27" i="9" a="1"/>
  <c r="K27" i="9"/>
  <c r="N27" i="9" a="1"/>
  <c r="N27" i="9"/>
  <c r="Q27" i="9" a="1"/>
  <c r="Q27" i="9"/>
  <c r="T27" i="9" a="1"/>
  <c r="T27" i="9"/>
  <c r="H28" i="9" a="1"/>
  <c r="H28" i="9"/>
  <c r="K28" i="9" a="1"/>
  <c r="K28" i="9"/>
  <c r="N28" i="9" a="1"/>
  <c r="N28" i="9"/>
  <c r="Q28" i="9" a="1"/>
  <c r="Q28" i="9"/>
  <c r="T28" i="9" a="1"/>
  <c r="T28" i="9"/>
  <c r="H29" i="9" a="1"/>
  <c r="H29" i="9"/>
  <c r="K29" i="9" a="1"/>
  <c r="K29" i="9"/>
  <c r="N29" i="9" a="1"/>
  <c r="N29" i="9"/>
  <c r="Q29" i="9" a="1"/>
  <c r="Q29" i="9"/>
  <c r="T29" i="9" a="1"/>
  <c r="T29" i="9"/>
  <c r="H30" i="9" a="1"/>
  <c r="H30" i="9"/>
  <c r="K30" i="9" a="1"/>
  <c r="K30" i="9"/>
  <c r="N30" i="9" a="1"/>
  <c r="N30" i="9"/>
  <c r="Q30" i="9" a="1"/>
  <c r="Q30" i="9"/>
  <c r="T30" i="9" a="1"/>
  <c r="T30" i="9"/>
  <c r="H31" i="9" a="1"/>
  <c r="H31" i="9"/>
  <c r="K31" i="9" a="1"/>
  <c r="K31" i="9"/>
  <c r="N31" i="9" a="1"/>
  <c r="N31" i="9"/>
  <c r="Q31" i="9" a="1"/>
  <c r="Q31" i="9"/>
  <c r="T31" i="9" a="1"/>
  <c r="T31" i="9"/>
  <c r="H32" i="9" a="1"/>
  <c r="H32" i="9"/>
  <c r="K32" i="9" a="1"/>
  <c r="K32" i="9"/>
  <c r="N32" i="9" a="1"/>
  <c r="N32" i="9"/>
  <c r="Q32" i="9" a="1"/>
  <c r="Q32" i="9"/>
  <c r="T32" i="9" a="1"/>
  <c r="T32" i="9"/>
  <c r="H33" i="9" a="1"/>
  <c r="H33" i="9"/>
  <c r="K33" i="9" a="1"/>
  <c r="K33" i="9"/>
  <c r="N33" i="9" a="1"/>
  <c r="N33" i="9"/>
  <c r="Q33" i="9" a="1"/>
  <c r="Q33" i="9"/>
  <c r="T33" i="9" a="1"/>
  <c r="T33" i="9"/>
  <c r="H34" i="9" a="1"/>
  <c r="H34" i="9"/>
  <c r="K34" i="9" a="1"/>
  <c r="K34" i="9"/>
  <c r="N34" i="9" a="1"/>
  <c r="N34" i="9"/>
  <c r="Q34" i="9" a="1"/>
  <c r="Q34" i="9"/>
  <c r="T34" i="9" a="1"/>
  <c r="T34" i="9"/>
  <c r="H35" i="9" a="1"/>
  <c r="H35" i="9"/>
  <c r="K35" i="9" a="1"/>
  <c r="K35" i="9"/>
  <c r="N35" i="9" a="1"/>
  <c r="N35" i="9"/>
  <c r="Q35" i="9" a="1"/>
  <c r="Q35" i="9"/>
  <c r="T35" i="9" a="1"/>
  <c r="T35" i="9"/>
  <c r="H36" i="9" a="1"/>
  <c r="H36" i="9"/>
  <c r="K36" i="9" a="1"/>
  <c r="K36" i="9"/>
  <c r="N36" i="9" a="1"/>
  <c r="N36" i="9"/>
  <c r="Q36" i="9" a="1"/>
  <c r="Q36" i="9"/>
  <c r="T36" i="9" a="1"/>
  <c r="T36" i="9"/>
  <c r="H37" i="9" a="1"/>
  <c r="H37" i="9"/>
  <c r="K37" i="9" a="1"/>
  <c r="K37" i="9"/>
  <c r="N37" i="9" a="1"/>
  <c r="N37" i="9"/>
  <c r="Q37" i="9" a="1"/>
  <c r="Q37" i="9"/>
  <c r="T37" i="9" a="1"/>
  <c r="T37" i="9"/>
  <c r="H38" i="9" a="1"/>
  <c r="H38" i="9"/>
  <c r="K38" i="9" a="1"/>
  <c r="K38" i="9"/>
  <c r="N38" i="9" a="1"/>
  <c r="N38" i="9"/>
  <c r="Q38" i="9" a="1"/>
  <c r="Q38" i="9"/>
  <c r="T38" i="9" a="1"/>
  <c r="T38" i="9"/>
  <c r="H39" i="9" a="1"/>
  <c r="H39" i="9"/>
  <c r="K39" i="9" a="1"/>
  <c r="K39" i="9"/>
  <c r="N39" i="9" a="1"/>
  <c r="N39" i="9"/>
  <c r="Q39" i="9" a="1"/>
  <c r="Q39" i="9"/>
  <c r="T39" i="9" a="1"/>
  <c r="T39" i="9"/>
  <c r="H40" i="9" a="1"/>
  <c r="H40" i="9"/>
  <c r="K40" i="9" a="1"/>
  <c r="K40" i="9"/>
  <c r="N40" i="9" a="1"/>
  <c r="N40" i="9"/>
  <c r="Q40" i="9" a="1"/>
  <c r="Q40" i="9"/>
  <c r="T40" i="9" a="1"/>
  <c r="T40" i="9"/>
  <c r="H4" i="7" a="1"/>
  <c r="H4" i="7"/>
  <c r="K4" i="7" a="1"/>
  <c r="K4" i="7"/>
  <c r="N4" i="7" a="1"/>
  <c r="N4" i="7"/>
  <c r="Q4" i="7" a="1"/>
  <c r="Q4" i="7"/>
  <c r="T4" i="7" a="1"/>
  <c r="T4" i="7"/>
  <c r="H5" i="7" a="1"/>
  <c r="H5" i="7"/>
  <c r="K5" i="7" a="1"/>
  <c r="K5" i="7"/>
  <c r="N5" i="7" a="1"/>
  <c r="N5" i="7"/>
  <c r="Q5" i="7" a="1"/>
  <c r="Q5" i="7"/>
  <c r="T5" i="7" a="1"/>
  <c r="T5" i="7"/>
  <c r="H6" i="7" a="1"/>
  <c r="H6" i="7"/>
  <c r="K6" i="7" a="1"/>
  <c r="K6" i="7"/>
  <c r="N6" i="7" a="1"/>
  <c r="N6" i="7"/>
  <c r="Q6" i="7" a="1"/>
  <c r="Q6" i="7"/>
  <c r="T6" i="7" a="1"/>
  <c r="T6" i="7"/>
  <c r="H7" i="7" a="1"/>
  <c r="H7" i="7"/>
  <c r="K7" i="7" a="1"/>
  <c r="K7" i="7"/>
  <c r="N7" i="7" a="1"/>
  <c r="N7" i="7"/>
  <c r="Q7" i="7" a="1"/>
  <c r="Q7" i="7"/>
  <c r="T7" i="7" a="1"/>
  <c r="T7" i="7"/>
  <c r="H8" i="7" a="1"/>
  <c r="H8" i="7"/>
  <c r="K8" i="7" a="1"/>
  <c r="K8" i="7"/>
  <c r="N8" i="7" a="1"/>
  <c r="N8" i="7"/>
  <c r="Q8" i="7" a="1"/>
  <c r="Q8" i="7"/>
  <c r="T8" i="7" a="1"/>
  <c r="T8" i="7"/>
  <c r="H9" i="7" a="1"/>
  <c r="H9" i="7"/>
  <c r="K9" i="7" a="1"/>
  <c r="K9" i="7"/>
  <c r="N9" i="7" a="1"/>
  <c r="N9" i="7"/>
  <c r="Q9" i="7" a="1"/>
  <c r="Q9" i="7"/>
  <c r="T9" i="7" a="1"/>
  <c r="T9" i="7"/>
  <c r="H10" i="7" a="1"/>
  <c r="H10" i="7"/>
  <c r="K10" i="7" a="1"/>
  <c r="K10" i="7"/>
  <c r="N10" i="7" a="1"/>
  <c r="N10" i="7"/>
  <c r="Q10" i="7" a="1"/>
  <c r="Q10" i="7"/>
  <c r="T10" i="7" a="1"/>
  <c r="T10" i="7"/>
  <c r="H11" i="7" a="1"/>
  <c r="H11" i="7"/>
  <c r="K11" i="7" a="1"/>
  <c r="K11" i="7"/>
  <c r="N11" i="7" a="1"/>
  <c r="N11" i="7"/>
  <c r="Q11" i="7" a="1"/>
  <c r="Q11" i="7"/>
  <c r="T11" i="7" a="1"/>
  <c r="T11" i="7"/>
  <c r="H12" i="7" a="1"/>
  <c r="H12" i="7"/>
  <c r="K12" i="7" a="1"/>
  <c r="K12" i="7"/>
  <c r="N12" i="7" a="1"/>
  <c r="N12" i="7"/>
  <c r="Q12" i="7" a="1"/>
  <c r="Q12" i="7"/>
  <c r="T12" i="7" a="1"/>
  <c r="T12" i="7"/>
  <c r="H13" i="7" a="1"/>
  <c r="H13" i="7"/>
  <c r="K13" i="7" a="1"/>
  <c r="K13" i="7"/>
  <c r="N13" i="7" a="1"/>
  <c r="N13" i="7"/>
  <c r="Q13" i="7" a="1"/>
  <c r="Q13" i="7"/>
  <c r="T13" i="7" a="1"/>
  <c r="T13" i="7"/>
  <c r="H14" i="7" a="1"/>
  <c r="H14" i="7"/>
  <c r="K14" i="7" a="1"/>
  <c r="K14" i="7"/>
  <c r="N14" i="7" a="1"/>
  <c r="N14" i="7"/>
  <c r="Q14" i="7" a="1"/>
  <c r="Q14" i="7"/>
  <c r="T14" i="7" a="1"/>
  <c r="T14" i="7"/>
  <c r="H15" i="7" a="1"/>
  <c r="H15" i="7"/>
  <c r="K15" i="7" a="1"/>
  <c r="K15" i="7"/>
  <c r="N15" i="7" a="1"/>
  <c r="N15" i="7"/>
  <c r="Q15" i="7" a="1"/>
  <c r="Q15" i="7"/>
  <c r="T15" i="7" a="1"/>
  <c r="T15" i="7"/>
  <c r="H16" i="7" a="1"/>
  <c r="H16" i="7"/>
  <c r="K16" i="7" a="1"/>
  <c r="K16" i="7"/>
  <c r="N16" i="7" a="1"/>
  <c r="N16" i="7"/>
  <c r="Q16" i="7" a="1"/>
  <c r="Q16" i="7"/>
  <c r="T16" i="7" a="1"/>
  <c r="T16" i="7"/>
  <c r="H17" i="7" a="1"/>
  <c r="H17" i="7"/>
  <c r="K17" i="7" a="1"/>
  <c r="K17" i="7"/>
  <c r="N17" i="7" a="1"/>
  <c r="N17" i="7"/>
  <c r="Q17" i="7" a="1"/>
  <c r="Q17" i="7"/>
  <c r="T17" i="7" a="1"/>
  <c r="T17" i="7"/>
  <c r="H18" i="7" a="1"/>
  <c r="H18" i="7"/>
  <c r="K18" i="7" a="1"/>
  <c r="K18" i="7"/>
  <c r="N18" i="7" a="1"/>
  <c r="N18" i="7"/>
  <c r="Q18" i="7" a="1"/>
  <c r="Q18" i="7"/>
  <c r="T18" i="7" a="1"/>
  <c r="T18" i="7"/>
  <c r="H19" i="7" a="1"/>
  <c r="H19" i="7"/>
  <c r="K19" i="7" a="1"/>
  <c r="K19" i="7"/>
  <c r="N19" i="7" a="1"/>
  <c r="N19" i="7"/>
  <c r="Q19" i="7" a="1"/>
  <c r="Q19" i="7"/>
  <c r="T19" i="7" a="1"/>
  <c r="T19" i="7"/>
  <c r="H20" i="7" a="1"/>
  <c r="H20" i="7"/>
  <c r="K20" i="7" a="1"/>
  <c r="K20" i="7"/>
  <c r="N20" i="7" a="1"/>
  <c r="N20" i="7"/>
  <c r="Q20" i="7" a="1"/>
  <c r="Q20" i="7"/>
  <c r="T20" i="7" a="1"/>
  <c r="T20" i="7"/>
  <c r="H21" i="7" a="1"/>
  <c r="H21" i="7"/>
  <c r="K21" i="7" a="1"/>
  <c r="K21" i="7"/>
  <c r="N21" i="7" a="1"/>
  <c r="N21" i="7"/>
  <c r="Q21" i="7" a="1"/>
  <c r="Q21" i="7"/>
  <c r="T21" i="7" a="1"/>
  <c r="T21" i="7"/>
  <c r="H22" i="7" a="1"/>
  <c r="H22" i="7"/>
  <c r="K22" i="7" a="1"/>
  <c r="K22" i="7"/>
  <c r="N22" i="7" a="1"/>
  <c r="N22" i="7"/>
  <c r="Q22" i="7" a="1"/>
  <c r="Q22" i="7"/>
  <c r="T22" i="7" a="1"/>
  <c r="T22" i="7"/>
  <c r="H23" i="7" a="1"/>
  <c r="H23" i="7"/>
  <c r="K23" i="7" a="1"/>
  <c r="K23" i="7"/>
  <c r="N23" i="7" a="1"/>
  <c r="N23" i="7"/>
  <c r="Q23" i="7" a="1"/>
  <c r="Q23" i="7"/>
  <c r="T23" i="7" a="1"/>
  <c r="T23" i="7"/>
  <c r="H24" i="7" a="1"/>
  <c r="H24" i="7"/>
  <c r="K24" i="7" a="1"/>
  <c r="K24" i="7"/>
  <c r="N24" i="7" a="1"/>
  <c r="N24" i="7"/>
  <c r="Q24" i="7" a="1"/>
  <c r="Q24" i="7"/>
  <c r="T24" i="7" a="1"/>
  <c r="T24" i="7"/>
  <c r="H25" i="7" a="1"/>
  <c r="H25" i="7"/>
  <c r="K25" i="7" a="1"/>
  <c r="K25" i="7"/>
  <c r="N25" i="7" a="1"/>
  <c r="N25" i="7"/>
  <c r="Q25" i="7" a="1"/>
  <c r="Q25" i="7"/>
  <c r="T25" i="7" a="1"/>
  <c r="T25" i="7"/>
  <c r="H26" i="7" a="1"/>
  <c r="H26" i="7"/>
  <c r="K26" i="7" a="1"/>
  <c r="K26" i="7"/>
  <c r="N26" i="7" a="1"/>
  <c r="N26" i="7"/>
  <c r="Q26" i="7" a="1"/>
  <c r="Q26" i="7"/>
  <c r="T26" i="7" a="1"/>
  <c r="T26" i="7"/>
  <c r="H27" i="7" a="1"/>
  <c r="H27" i="7"/>
  <c r="K27" i="7" a="1"/>
  <c r="K27" i="7"/>
  <c r="N27" i="7" a="1"/>
  <c r="N27" i="7"/>
  <c r="Q27" i="7" a="1"/>
  <c r="Q27" i="7"/>
  <c r="T27" i="7" a="1"/>
  <c r="T27" i="7"/>
  <c r="H28" i="7" a="1"/>
  <c r="H28" i="7"/>
  <c r="K28" i="7" a="1"/>
  <c r="K28" i="7"/>
  <c r="N28" i="7" a="1"/>
  <c r="N28" i="7"/>
  <c r="Q28" i="7" a="1"/>
  <c r="Q28" i="7"/>
  <c r="T28" i="7" a="1"/>
  <c r="T28" i="7"/>
  <c r="H29" i="7" a="1"/>
  <c r="H29" i="7"/>
  <c r="K29" i="7" a="1"/>
  <c r="K29" i="7"/>
  <c r="N29" i="7" a="1"/>
  <c r="N29" i="7"/>
  <c r="Q29" i="7" a="1"/>
  <c r="Q29" i="7"/>
  <c r="T29" i="7" a="1"/>
  <c r="T29" i="7"/>
  <c r="H30" i="7" a="1"/>
  <c r="H30" i="7"/>
  <c r="K30" i="7" a="1"/>
  <c r="K30" i="7"/>
  <c r="N30" i="7" a="1"/>
  <c r="N30" i="7"/>
  <c r="Q30" i="7" a="1"/>
  <c r="Q30" i="7"/>
  <c r="T30" i="7" a="1"/>
  <c r="T30" i="7"/>
  <c r="H31" i="7" a="1"/>
  <c r="H31" i="7"/>
  <c r="K31" i="7" a="1"/>
  <c r="K31" i="7"/>
  <c r="N31" i="7" a="1"/>
  <c r="N31" i="7"/>
  <c r="Q31" i="7" a="1"/>
  <c r="Q31" i="7"/>
  <c r="T31" i="7" a="1"/>
  <c r="T31" i="7"/>
  <c r="H32" i="7" a="1"/>
  <c r="H32" i="7"/>
  <c r="K32" i="7" a="1"/>
  <c r="K32" i="7"/>
  <c r="N32" i="7" a="1"/>
  <c r="N32" i="7"/>
  <c r="Q32" i="7" a="1"/>
  <c r="Q32" i="7"/>
  <c r="T32" i="7" a="1"/>
  <c r="T32" i="7"/>
  <c r="H33" i="7" a="1"/>
  <c r="H33" i="7"/>
  <c r="K33" i="7" a="1"/>
  <c r="K33" i="7"/>
  <c r="N33" i="7" a="1"/>
  <c r="N33" i="7"/>
  <c r="Q33" i="7" a="1"/>
  <c r="Q33" i="7"/>
  <c r="T33" i="7" a="1"/>
  <c r="T33" i="7"/>
  <c r="H34" i="7" a="1"/>
  <c r="H34" i="7"/>
  <c r="K34" i="7" a="1"/>
  <c r="K34" i="7"/>
  <c r="N34" i="7" a="1"/>
  <c r="N34" i="7"/>
  <c r="Q34" i="7" a="1"/>
  <c r="Q34" i="7"/>
  <c r="T34" i="7" a="1"/>
  <c r="T34" i="7"/>
  <c r="H35" i="7" a="1"/>
  <c r="H35" i="7"/>
  <c r="K35" i="7" a="1"/>
  <c r="K35" i="7"/>
  <c r="N35" i="7" a="1"/>
  <c r="N35" i="7"/>
  <c r="Q35" i="7" a="1"/>
  <c r="Q35" i="7"/>
  <c r="T35" i="7" a="1"/>
  <c r="T35" i="7"/>
  <c r="H36" i="7" a="1"/>
  <c r="H36" i="7"/>
  <c r="K36" i="7" a="1"/>
  <c r="K36" i="7"/>
  <c r="N36" i="7" a="1"/>
  <c r="N36" i="7"/>
  <c r="Q36" i="7" a="1"/>
  <c r="Q36" i="7"/>
  <c r="T36" i="7" a="1"/>
  <c r="T36" i="7"/>
  <c r="H37" i="7" a="1"/>
  <c r="H37" i="7"/>
  <c r="K37" i="7" a="1"/>
  <c r="K37" i="7"/>
  <c r="N37" i="7" a="1"/>
  <c r="N37" i="7"/>
  <c r="Q37" i="7" a="1"/>
  <c r="Q37" i="7"/>
  <c r="T37" i="7" a="1"/>
  <c r="T37" i="7"/>
  <c r="H38" i="7" a="1"/>
  <c r="H38" i="7"/>
  <c r="K38" i="7" a="1"/>
  <c r="K38" i="7"/>
  <c r="N38" i="7" a="1"/>
  <c r="N38" i="7"/>
  <c r="Q38" i="7" a="1"/>
  <c r="Q38" i="7"/>
  <c r="T38" i="7" a="1"/>
  <c r="T38" i="7"/>
  <c r="H39" i="7" a="1"/>
  <c r="H39" i="7"/>
  <c r="K39" i="7" a="1"/>
  <c r="K39" i="7"/>
  <c r="N39" i="7" a="1"/>
  <c r="N39" i="7"/>
  <c r="Q39" i="7" a="1"/>
  <c r="Q39" i="7"/>
  <c r="T39" i="7" a="1"/>
  <c r="T39" i="7"/>
  <c r="H40" i="7" a="1"/>
  <c r="H40" i="7"/>
  <c r="K40" i="7" a="1"/>
  <c r="K40" i="7"/>
  <c r="N40" i="7" a="1"/>
  <c r="N40" i="7"/>
  <c r="Q40" i="7" a="1"/>
  <c r="Q40" i="7"/>
  <c r="T40" i="7" a="1"/>
  <c r="T40" i="7"/>
  <c r="H4" i="6" a="1"/>
  <c r="H4" i="6"/>
  <c r="K4" i="6" a="1"/>
  <c r="K4" i="6"/>
  <c r="N4" i="6" a="1"/>
  <c r="N4" i="6"/>
  <c r="Q4" i="6" a="1"/>
  <c r="Q4" i="6"/>
  <c r="T4" i="6" a="1"/>
  <c r="T4" i="6"/>
  <c r="H5" i="6" a="1"/>
  <c r="H5" i="6"/>
  <c r="K5" i="6" a="1"/>
  <c r="K5" i="6"/>
  <c r="N5" i="6" a="1"/>
  <c r="N5" i="6"/>
  <c r="Q5" i="6" a="1"/>
  <c r="Q5" i="6"/>
  <c r="T5" i="6" a="1"/>
  <c r="T5" i="6"/>
  <c r="H6" i="6" a="1"/>
  <c r="H6" i="6"/>
  <c r="K6" i="6" a="1"/>
  <c r="K6" i="6"/>
  <c r="N6" i="6" a="1"/>
  <c r="N6" i="6"/>
  <c r="Q6" i="6" a="1"/>
  <c r="Q6" i="6"/>
  <c r="T6" i="6" a="1"/>
  <c r="T6" i="6"/>
  <c r="H7" i="6" a="1"/>
  <c r="H7" i="6"/>
  <c r="K7" i="6" a="1"/>
  <c r="K7" i="6"/>
  <c r="N7" i="6" a="1"/>
  <c r="N7" i="6"/>
  <c r="Q7" i="6" a="1"/>
  <c r="Q7" i="6"/>
  <c r="T7" i="6" a="1"/>
  <c r="T7" i="6"/>
  <c r="H8" i="6" a="1"/>
  <c r="H8" i="6"/>
  <c r="K8" i="6" a="1"/>
  <c r="K8" i="6"/>
  <c r="N8" i="6" a="1"/>
  <c r="N8" i="6"/>
  <c r="Q8" i="6" a="1"/>
  <c r="Q8" i="6"/>
  <c r="T8" i="6" a="1"/>
  <c r="T8" i="6"/>
  <c r="H9" i="6" a="1"/>
  <c r="H9" i="6"/>
  <c r="K9" i="6" a="1"/>
  <c r="K9" i="6"/>
  <c r="N9" i="6" a="1"/>
  <c r="N9" i="6"/>
  <c r="Q9" i="6" a="1"/>
  <c r="Q9" i="6"/>
  <c r="T9" i="6" a="1"/>
  <c r="T9" i="6"/>
  <c r="H10" i="6" a="1"/>
  <c r="H10" i="6"/>
  <c r="K10" i="6" a="1"/>
  <c r="K10" i="6"/>
  <c r="N10" i="6" a="1"/>
  <c r="N10" i="6"/>
  <c r="Q10" i="6" a="1"/>
  <c r="Q10" i="6"/>
  <c r="T10" i="6" a="1"/>
  <c r="T10" i="6"/>
  <c r="H11" i="6" a="1"/>
  <c r="H11" i="6"/>
  <c r="K11" i="6" a="1"/>
  <c r="K11" i="6"/>
  <c r="N11" i="6" a="1"/>
  <c r="N11" i="6"/>
  <c r="Q11" i="6" a="1"/>
  <c r="Q11" i="6"/>
  <c r="T11" i="6" a="1"/>
  <c r="T11" i="6"/>
  <c r="H12" i="6" a="1"/>
  <c r="H12" i="6"/>
  <c r="K12" i="6" a="1"/>
  <c r="K12" i="6"/>
  <c r="N12" i="6" a="1"/>
  <c r="N12" i="6"/>
  <c r="Q12" i="6" a="1"/>
  <c r="Q12" i="6"/>
  <c r="T12" i="6" a="1"/>
  <c r="T12" i="6"/>
  <c r="H13" i="6" a="1"/>
  <c r="H13" i="6"/>
  <c r="K13" i="6" a="1"/>
  <c r="K13" i="6"/>
  <c r="N13" i="6" a="1"/>
  <c r="N13" i="6"/>
  <c r="Q13" i="6" a="1"/>
  <c r="Q13" i="6"/>
  <c r="T13" i="6" a="1"/>
  <c r="T13" i="6"/>
  <c r="H14" i="6" a="1"/>
  <c r="H14" i="6"/>
  <c r="K14" i="6" a="1"/>
  <c r="K14" i="6"/>
  <c r="N14" i="6" a="1"/>
  <c r="N14" i="6"/>
  <c r="Q14" i="6" a="1"/>
  <c r="Q14" i="6"/>
  <c r="T14" i="6" a="1"/>
  <c r="T14" i="6"/>
  <c r="H15" i="6" a="1"/>
  <c r="H15" i="6"/>
  <c r="K15" i="6" a="1"/>
  <c r="K15" i="6"/>
  <c r="N15" i="6" a="1"/>
  <c r="N15" i="6"/>
  <c r="Q15" i="6" a="1"/>
  <c r="Q15" i="6"/>
  <c r="T15" i="6" a="1"/>
  <c r="T15" i="6"/>
  <c r="H16" i="6" a="1"/>
  <c r="H16" i="6"/>
  <c r="K16" i="6" a="1"/>
  <c r="K16" i="6"/>
  <c r="N16" i="6" a="1"/>
  <c r="N16" i="6"/>
  <c r="Q16" i="6" a="1"/>
  <c r="Q16" i="6"/>
  <c r="T16" i="6" a="1"/>
  <c r="T16" i="6"/>
  <c r="H17" i="6" a="1"/>
  <c r="H17" i="6"/>
  <c r="K17" i="6" a="1"/>
  <c r="K17" i="6"/>
  <c r="N17" i="6" a="1"/>
  <c r="N17" i="6"/>
  <c r="Q17" i="6" a="1"/>
  <c r="Q17" i="6"/>
  <c r="T17" i="6" a="1"/>
  <c r="T17" i="6"/>
  <c r="H18" i="6" a="1"/>
  <c r="H18" i="6"/>
  <c r="K18" i="6" a="1"/>
  <c r="K18" i="6"/>
  <c r="N18" i="6" a="1"/>
  <c r="N18" i="6"/>
  <c r="Q18" i="6" a="1"/>
  <c r="Q18" i="6"/>
  <c r="T18" i="6" a="1"/>
  <c r="T18" i="6"/>
  <c r="H19" i="6" a="1"/>
  <c r="H19" i="6"/>
  <c r="K19" i="6" a="1"/>
  <c r="K19" i="6"/>
  <c r="N19" i="6" a="1"/>
  <c r="N19" i="6"/>
  <c r="Q19" i="6" a="1"/>
  <c r="Q19" i="6"/>
  <c r="T19" i="6" a="1"/>
  <c r="T19" i="6"/>
  <c r="H20" i="6" a="1"/>
  <c r="H20" i="6"/>
  <c r="K20" i="6" a="1"/>
  <c r="K20" i="6"/>
  <c r="N20" i="6" a="1"/>
  <c r="N20" i="6"/>
  <c r="Q20" i="6" a="1"/>
  <c r="Q20" i="6"/>
  <c r="T20" i="6" a="1"/>
  <c r="T20" i="6"/>
  <c r="H21" i="6" a="1"/>
  <c r="H21" i="6"/>
  <c r="K21" i="6" a="1"/>
  <c r="K21" i="6"/>
  <c r="N21" i="6" a="1"/>
  <c r="N21" i="6"/>
  <c r="Q21" i="6" a="1"/>
  <c r="Q21" i="6"/>
  <c r="T21" i="6" a="1"/>
  <c r="T21" i="6"/>
  <c r="H22" i="6" a="1"/>
  <c r="H22" i="6"/>
  <c r="K22" i="6" a="1"/>
  <c r="K22" i="6"/>
  <c r="N22" i="6" a="1"/>
  <c r="N22" i="6"/>
  <c r="Q22" i="6" a="1"/>
  <c r="Q22" i="6"/>
  <c r="T22" i="6" a="1"/>
  <c r="T22" i="6"/>
  <c r="H23" i="6" a="1"/>
  <c r="H23" i="6"/>
  <c r="K23" i="6" a="1"/>
  <c r="K23" i="6"/>
  <c r="N23" i="6" a="1"/>
  <c r="N23" i="6"/>
  <c r="Q23" i="6" a="1"/>
  <c r="Q23" i="6"/>
  <c r="T23" i="6" a="1"/>
  <c r="T23" i="6"/>
  <c r="H24" i="6" a="1"/>
  <c r="H24" i="6"/>
  <c r="K24" i="6" a="1"/>
  <c r="K24" i="6"/>
  <c r="N24" i="6" a="1"/>
  <c r="N24" i="6"/>
  <c r="Q24" i="6" a="1"/>
  <c r="Q24" i="6"/>
  <c r="T24" i="6" a="1"/>
  <c r="T24" i="6"/>
  <c r="H25" i="6" a="1"/>
  <c r="H25" i="6"/>
  <c r="K25" i="6" a="1"/>
  <c r="K25" i="6"/>
  <c r="N25" i="6" a="1"/>
  <c r="N25" i="6"/>
  <c r="Q25" i="6" a="1"/>
  <c r="Q25" i="6"/>
  <c r="T25" i="6" a="1"/>
  <c r="T25" i="6"/>
  <c r="H26" i="6" a="1"/>
  <c r="H26" i="6"/>
  <c r="K26" i="6" a="1"/>
  <c r="K26" i="6"/>
  <c r="N26" i="6" a="1"/>
  <c r="N26" i="6"/>
  <c r="Q26" i="6" a="1"/>
  <c r="Q26" i="6"/>
  <c r="T26" i="6" a="1"/>
  <c r="T26" i="6"/>
  <c r="H27" i="6" a="1"/>
  <c r="H27" i="6"/>
  <c r="K27" i="6" a="1"/>
  <c r="K27" i="6"/>
  <c r="N27" i="6" a="1"/>
  <c r="N27" i="6"/>
  <c r="Q27" i="6" a="1"/>
  <c r="Q27" i="6"/>
  <c r="T27" i="6" a="1"/>
  <c r="T27" i="6"/>
  <c r="H28" i="6" a="1"/>
  <c r="H28" i="6"/>
  <c r="K28" i="6" a="1"/>
  <c r="K28" i="6"/>
  <c r="N28" i="6" a="1"/>
  <c r="N28" i="6"/>
  <c r="Q28" i="6" a="1"/>
  <c r="Q28" i="6"/>
  <c r="T28" i="6" a="1"/>
  <c r="T28" i="6"/>
  <c r="H29" i="6" a="1"/>
  <c r="H29" i="6"/>
  <c r="K29" i="6" a="1"/>
  <c r="K29" i="6"/>
  <c r="N29" i="6" a="1"/>
  <c r="N29" i="6"/>
  <c r="Q29" i="6" a="1"/>
  <c r="Q29" i="6"/>
  <c r="T29" i="6" a="1"/>
  <c r="T29" i="6"/>
  <c r="H30" i="6" a="1"/>
  <c r="H30" i="6"/>
  <c r="K30" i="6" a="1"/>
  <c r="K30" i="6"/>
  <c r="N30" i="6" a="1"/>
  <c r="N30" i="6"/>
  <c r="Q30" i="6" a="1"/>
  <c r="Q30" i="6"/>
  <c r="T30" i="6" a="1"/>
  <c r="T30" i="6"/>
  <c r="H31" i="6" a="1"/>
  <c r="H31" i="6"/>
  <c r="K31" i="6" a="1"/>
  <c r="K31" i="6"/>
  <c r="N31" i="6" a="1"/>
  <c r="N31" i="6"/>
  <c r="Q31" i="6" a="1"/>
  <c r="Q31" i="6"/>
  <c r="T31" i="6" a="1"/>
  <c r="T31" i="6"/>
  <c r="H32" i="6" a="1"/>
  <c r="H32" i="6"/>
  <c r="K32" i="6" a="1"/>
  <c r="K32" i="6"/>
  <c r="N32" i="6" a="1"/>
  <c r="N32" i="6"/>
  <c r="Q32" i="6" a="1"/>
  <c r="Q32" i="6"/>
  <c r="T32" i="6" a="1"/>
  <c r="T32" i="6"/>
  <c r="H33" i="6" a="1"/>
  <c r="H33" i="6"/>
  <c r="K33" i="6" a="1"/>
  <c r="K33" i="6"/>
  <c r="N33" i="6" a="1"/>
  <c r="N33" i="6"/>
  <c r="Q33" i="6" a="1"/>
  <c r="Q33" i="6"/>
  <c r="T33" i="6" a="1"/>
  <c r="T33" i="6"/>
  <c r="H34" i="6" a="1"/>
  <c r="H34" i="6"/>
  <c r="K34" i="6" a="1"/>
  <c r="K34" i="6"/>
  <c r="N34" i="6" a="1"/>
  <c r="N34" i="6"/>
  <c r="Q34" i="6" a="1"/>
  <c r="Q34" i="6"/>
  <c r="T34" i="6" a="1"/>
  <c r="T34" i="6"/>
  <c r="H35" i="6" a="1"/>
  <c r="H35" i="6"/>
  <c r="K35" i="6" a="1"/>
  <c r="K35" i="6"/>
  <c r="N35" i="6" a="1"/>
  <c r="N35" i="6"/>
  <c r="Q35" i="6" a="1"/>
  <c r="Q35" i="6"/>
  <c r="T35" i="6" a="1"/>
  <c r="T35" i="6"/>
  <c r="H36" i="6" a="1"/>
  <c r="H36" i="6"/>
  <c r="K36" i="6" a="1"/>
  <c r="K36" i="6"/>
  <c r="N36" i="6" a="1"/>
  <c r="N36" i="6"/>
  <c r="Q36" i="6" a="1"/>
  <c r="Q36" i="6"/>
  <c r="T36" i="6" a="1"/>
  <c r="T36" i="6"/>
  <c r="H37" i="6" a="1"/>
  <c r="H37" i="6"/>
  <c r="K37" i="6" a="1"/>
  <c r="K37" i="6"/>
  <c r="N37" i="6" a="1"/>
  <c r="N37" i="6"/>
  <c r="Q37" i="6" a="1"/>
  <c r="Q37" i="6"/>
  <c r="T37" i="6" a="1"/>
  <c r="T37" i="6"/>
  <c r="H38" i="6" a="1"/>
  <c r="H38" i="6"/>
  <c r="K38" i="6" a="1"/>
  <c r="K38" i="6"/>
  <c r="N38" i="6" a="1"/>
  <c r="N38" i="6"/>
  <c r="Q38" i="6" a="1"/>
  <c r="Q38" i="6"/>
  <c r="T38" i="6" a="1"/>
  <c r="T38" i="6"/>
  <c r="H39" i="6" a="1"/>
  <c r="H39" i="6"/>
  <c r="K39" i="6" a="1"/>
  <c r="K39" i="6"/>
  <c r="N39" i="6" a="1"/>
  <c r="N39" i="6"/>
  <c r="Q39" i="6" a="1"/>
  <c r="Q39" i="6"/>
  <c r="T39" i="6" a="1"/>
  <c r="T39" i="6"/>
  <c r="H40" i="6" a="1"/>
  <c r="H40" i="6"/>
  <c r="K40" i="6" a="1"/>
  <c r="K40" i="6"/>
  <c r="N40" i="6" a="1"/>
  <c r="N40" i="6"/>
  <c r="Q40" i="6" a="1"/>
  <c r="Q40" i="6"/>
  <c r="T40" i="6" a="1"/>
  <c r="T40" i="6"/>
  <c r="H4" i="8" a="1"/>
  <c r="H4" i="8"/>
  <c r="K4" i="8" a="1"/>
  <c r="K4" i="8"/>
  <c r="N4" i="8" a="1"/>
  <c r="N4" i="8"/>
  <c r="Q4" i="8" a="1"/>
  <c r="Q4" i="8"/>
  <c r="T4" i="8" a="1"/>
  <c r="T4" i="8"/>
  <c r="H5" i="8" a="1"/>
  <c r="H5" i="8"/>
  <c r="K5" i="8" a="1"/>
  <c r="K5" i="8"/>
  <c r="N5" i="8" a="1"/>
  <c r="N5" i="8"/>
  <c r="Q5" i="8" a="1"/>
  <c r="Q5" i="8"/>
  <c r="T5" i="8" a="1"/>
  <c r="T5" i="8"/>
  <c r="H6" i="8" a="1"/>
  <c r="H6" i="8"/>
  <c r="K6" i="8" a="1"/>
  <c r="K6" i="8"/>
  <c r="N6" i="8" a="1"/>
  <c r="N6" i="8"/>
  <c r="Q6" i="8" a="1"/>
  <c r="Q6" i="8"/>
  <c r="T6" i="8" a="1"/>
  <c r="T6" i="8"/>
  <c r="H7" i="8" a="1"/>
  <c r="H7" i="8"/>
  <c r="K7" i="8" a="1"/>
  <c r="K7" i="8"/>
  <c r="N7" i="8" a="1"/>
  <c r="N7" i="8"/>
  <c r="Q7" i="8" a="1"/>
  <c r="Q7" i="8"/>
  <c r="T7" i="8" a="1"/>
  <c r="T7" i="8"/>
  <c r="H8" i="8" a="1"/>
  <c r="H8" i="8"/>
  <c r="K8" i="8" a="1"/>
  <c r="K8" i="8"/>
  <c r="N8" i="8" a="1"/>
  <c r="N8" i="8"/>
  <c r="Q8" i="8" a="1"/>
  <c r="Q8" i="8"/>
  <c r="T8" i="8" a="1"/>
  <c r="T8" i="8"/>
  <c r="H9" i="8" a="1"/>
  <c r="H9" i="8"/>
  <c r="K9" i="8" a="1"/>
  <c r="K9" i="8"/>
  <c r="N9" i="8" a="1"/>
  <c r="N9" i="8"/>
  <c r="Q9" i="8" a="1"/>
  <c r="Q9" i="8"/>
  <c r="T9" i="8" a="1"/>
  <c r="T9" i="8"/>
  <c r="H10" i="8" a="1"/>
  <c r="H10" i="8"/>
  <c r="K10" i="8" a="1"/>
  <c r="K10" i="8"/>
  <c r="N10" i="8" a="1"/>
  <c r="N10" i="8"/>
  <c r="Q10" i="8" a="1"/>
  <c r="Q10" i="8"/>
  <c r="T10" i="8" a="1"/>
  <c r="T10" i="8"/>
  <c r="H11" i="8" a="1"/>
  <c r="H11" i="8"/>
  <c r="K11" i="8" a="1"/>
  <c r="K11" i="8"/>
  <c r="N11" i="8" a="1"/>
  <c r="N11" i="8"/>
  <c r="Q11" i="8" a="1"/>
  <c r="Q11" i="8"/>
  <c r="T11" i="8" a="1"/>
  <c r="T11" i="8"/>
  <c r="H12" i="8" a="1"/>
  <c r="H12" i="8"/>
  <c r="K12" i="8" a="1"/>
  <c r="K12" i="8"/>
  <c r="N12" i="8" a="1"/>
  <c r="N12" i="8"/>
  <c r="Q12" i="8" a="1"/>
  <c r="Q12" i="8"/>
  <c r="T12" i="8" a="1"/>
  <c r="T12" i="8"/>
  <c r="H13" i="8" a="1"/>
  <c r="H13" i="8"/>
  <c r="K13" i="8" a="1"/>
  <c r="K13" i="8"/>
  <c r="N13" i="8" a="1"/>
  <c r="N13" i="8"/>
  <c r="Q13" i="8" a="1"/>
  <c r="Q13" i="8"/>
  <c r="T13" i="8" a="1"/>
  <c r="T13" i="8"/>
  <c r="H14" i="8" a="1"/>
  <c r="H14" i="8"/>
  <c r="K14" i="8" a="1"/>
  <c r="K14" i="8"/>
  <c r="N14" i="8" a="1"/>
  <c r="N14" i="8"/>
  <c r="Q14" i="8" a="1"/>
  <c r="Q14" i="8"/>
  <c r="T14" i="8" a="1"/>
  <c r="T14" i="8"/>
  <c r="H15" i="8" a="1"/>
  <c r="H15" i="8"/>
  <c r="K15" i="8" a="1"/>
  <c r="K15" i="8"/>
  <c r="N15" i="8" a="1"/>
  <c r="N15" i="8"/>
  <c r="Q15" i="8" a="1"/>
  <c r="Q15" i="8"/>
  <c r="T15" i="8" a="1"/>
  <c r="T15" i="8"/>
  <c r="H16" i="8" a="1"/>
  <c r="H16" i="8"/>
  <c r="K16" i="8" a="1"/>
  <c r="K16" i="8"/>
  <c r="N16" i="8" a="1"/>
  <c r="N16" i="8"/>
  <c r="Q16" i="8" a="1"/>
  <c r="Q16" i="8"/>
  <c r="T16" i="8" a="1"/>
  <c r="T16" i="8"/>
  <c r="H17" i="8" a="1"/>
  <c r="H17" i="8"/>
  <c r="K17" i="8" a="1"/>
  <c r="K17" i="8"/>
  <c r="N17" i="8" a="1"/>
  <c r="N17" i="8"/>
  <c r="Q17" i="8" a="1"/>
  <c r="Q17" i="8"/>
  <c r="T17" i="8" a="1"/>
  <c r="T17" i="8"/>
  <c r="H18" i="8" a="1"/>
  <c r="H18" i="8"/>
  <c r="K18" i="8" a="1"/>
  <c r="K18" i="8"/>
  <c r="N18" i="8" a="1"/>
  <c r="N18" i="8"/>
  <c r="Q18" i="8" a="1"/>
  <c r="Q18" i="8"/>
  <c r="T18" i="8" a="1"/>
  <c r="T18" i="8"/>
  <c r="H19" i="8" a="1"/>
  <c r="H19" i="8"/>
  <c r="K19" i="8" a="1"/>
  <c r="K19" i="8"/>
  <c r="N19" i="8" a="1"/>
  <c r="N19" i="8"/>
  <c r="Q19" i="8" a="1"/>
  <c r="Q19" i="8"/>
  <c r="T19" i="8" a="1"/>
  <c r="T19" i="8"/>
  <c r="H20" i="8" a="1"/>
  <c r="H20" i="8"/>
  <c r="K20" i="8" a="1"/>
  <c r="K20" i="8"/>
  <c r="N20" i="8" a="1"/>
  <c r="N20" i="8"/>
  <c r="Q20" i="8" a="1"/>
  <c r="Q20" i="8"/>
  <c r="T20" i="8" a="1"/>
  <c r="T20" i="8"/>
  <c r="H21" i="8" a="1"/>
  <c r="H21" i="8"/>
  <c r="K21" i="8" a="1"/>
  <c r="K21" i="8"/>
  <c r="N21" i="8" a="1"/>
  <c r="N21" i="8"/>
  <c r="Q21" i="8" a="1"/>
  <c r="Q21" i="8"/>
  <c r="T21" i="8" a="1"/>
  <c r="T21" i="8"/>
  <c r="H22" i="8" a="1"/>
  <c r="H22" i="8"/>
  <c r="K22" i="8" a="1"/>
  <c r="K22" i="8"/>
  <c r="N22" i="8" a="1"/>
  <c r="N22" i="8"/>
  <c r="Q22" i="8" a="1"/>
  <c r="Q22" i="8"/>
  <c r="T22" i="8" a="1"/>
  <c r="T22" i="8"/>
  <c r="H23" i="8" a="1"/>
  <c r="H23" i="8"/>
  <c r="K23" i="8" a="1"/>
  <c r="K23" i="8"/>
  <c r="N23" i="8" a="1"/>
  <c r="N23" i="8"/>
  <c r="Q23" i="8" a="1"/>
  <c r="Q23" i="8"/>
  <c r="T23" i="8" a="1"/>
  <c r="T23" i="8"/>
  <c r="H24" i="8" a="1"/>
  <c r="H24" i="8"/>
  <c r="K24" i="8" a="1"/>
  <c r="K24" i="8"/>
  <c r="N24" i="8" a="1"/>
  <c r="N24" i="8"/>
  <c r="Q24" i="8" a="1"/>
  <c r="Q24" i="8"/>
  <c r="T24" i="8" a="1"/>
  <c r="T24" i="8"/>
  <c r="H25" i="8" a="1"/>
  <c r="H25" i="8"/>
  <c r="K25" i="8" a="1"/>
  <c r="K25" i="8"/>
  <c r="N25" i="8" a="1"/>
  <c r="N25" i="8"/>
  <c r="Q25" i="8" a="1"/>
  <c r="Q25" i="8"/>
  <c r="T25" i="8" a="1"/>
  <c r="T25" i="8"/>
  <c r="H26" i="8" a="1"/>
  <c r="H26" i="8"/>
  <c r="K26" i="8" a="1"/>
  <c r="K26" i="8"/>
  <c r="N26" i="8" a="1"/>
  <c r="N26" i="8"/>
  <c r="Q26" i="8" a="1"/>
  <c r="Q26" i="8"/>
  <c r="T26" i="8" a="1"/>
  <c r="T26" i="8"/>
  <c r="H27" i="8" a="1"/>
  <c r="H27" i="8"/>
  <c r="K27" i="8" a="1"/>
  <c r="K27" i="8"/>
  <c r="N27" i="8" a="1"/>
  <c r="N27" i="8"/>
  <c r="Q27" i="8" a="1"/>
  <c r="Q27" i="8"/>
  <c r="T27" i="8" a="1"/>
  <c r="T27" i="8"/>
  <c r="H28" i="8" a="1"/>
  <c r="H28" i="8"/>
  <c r="K28" i="8" a="1"/>
  <c r="K28" i="8"/>
  <c r="N28" i="8" a="1"/>
  <c r="N28" i="8"/>
  <c r="Q28" i="8" a="1"/>
  <c r="Q28" i="8"/>
  <c r="T28" i="8" a="1"/>
  <c r="T28" i="8"/>
  <c r="H29" i="8" a="1"/>
  <c r="H29" i="8"/>
  <c r="K29" i="8" a="1"/>
  <c r="K29" i="8"/>
  <c r="N29" i="8" a="1"/>
  <c r="N29" i="8"/>
  <c r="Q29" i="8" a="1"/>
  <c r="Q29" i="8"/>
  <c r="T29" i="8" a="1"/>
  <c r="T29" i="8"/>
  <c r="H30" i="8" a="1"/>
  <c r="H30" i="8"/>
  <c r="K30" i="8" a="1"/>
  <c r="K30" i="8"/>
  <c r="N30" i="8" a="1"/>
  <c r="N30" i="8"/>
  <c r="Q30" i="8" a="1"/>
  <c r="Q30" i="8"/>
  <c r="T30" i="8" a="1"/>
  <c r="T30" i="8"/>
  <c r="H31" i="8" a="1"/>
  <c r="H31" i="8"/>
  <c r="K31" i="8" a="1"/>
  <c r="K31" i="8"/>
  <c r="N31" i="8" a="1"/>
  <c r="N31" i="8"/>
  <c r="Q31" i="8" a="1"/>
  <c r="Q31" i="8"/>
  <c r="T31" i="8" a="1"/>
  <c r="T31" i="8"/>
  <c r="H32" i="8" a="1"/>
  <c r="H32" i="8"/>
  <c r="K32" i="8" a="1"/>
  <c r="K32" i="8"/>
  <c r="N32" i="8" a="1"/>
  <c r="N32" i="8"/>
  <c r="Q32" i="8" a="1"/>
  <c r="Q32" i="8"/>
  <c r="T32" i="8" a="1"/>
  <c r="T32" i="8"/>
  <c r="H33" i="8" a="1"/>
  <c r="H33" i="8"/>
  <c r="K33" i="8" a="1"/>
  <c r="K33" i="8"/>
  <c r="N33" i="8" a="1"/>
  <c r="N33" i="8"/>
  <c r="Q33" i="8" a="1"/>
  <c r="Q33" i="8"/>
  <c r="T33" i="8" a="1"/>
  <c r="T33" i="8"/>
  <c r="H34" i="8" a="1"/>
  <c r="H34" i="8"/>
  <c r="K34" i="8" a="1"/>
  <c r="K34" i="8"/>
  <c r="N34" i="8" a="1"/>
  <c r="N34" i="8"/>
  <c r="Q34" i="8" a="1"/>
  <c r="Q34" i="8"/>
  <c r="T34" i="8" a="1"/>
  <c r="T34" i="8"/>
  <c r="H35" i="8" a="1"/>
  <c r="H35" i="8"/>
  <c r="K35" i="8" a="1"/>
  <c r="K35" i="8"/>
  <c r="N35" i="8" a="1"/>
  <c r="N35" i="8"/>
  <c r="Q35" i="8" a="1"/>
  <c r="Q35" i="8"/>
  <c r="T35" i="8" a="1"/>
  <c r="T35" i="8"/>
  <c r="H36" i="8" a="1"/>
  <c r="H36" i="8"/>
  <c r="K36" i="8" a="1"/>
  <c r="K36" i="8"/>
  <c r="N36" i="8" a="1"/>
  <c r="N36" i="8"/>
  <c r="Q36" i="8" a="1"/>
  <c r="Q36" i="8"/>
  <c r="T36" i="8" a="1"/>
  <c r="T36" i="8"/>
  <c r="H37" i="8" a="1"/>
  <c r="H37" i="8"/>
  <c r="K37" i="8" a="1"/>
  <c r="K37" i="8"/>
  <c r="N37" i="8" a="1"/>
  <c r="N37" i="8"/>
  <c r="Q37" i="8" a="1"/>
  <c r="Q37" i="8"/>
  <c r="T37" i="8" a="1"/>
  <c r="T37" i="8"/>
  <c r="H38" i="8" a="1"/>
  <c r="H38" i="8"/>
  <c r="K38" i="8" a="1"/>
  <c r="K38" i="8"/>
  <c r="N38" i="8" a="1"/>
  <c r="N38" i="8"/>
  <c r="Q38" i="8" a="1"/>
  <c r="Q38" i="8"/>
  <c r="T38" i="8" a="1"/>
  <c r="T38" i="8"/>
  <c r="H39" i="8" a="1"/>
  <c r="H39" i="8"/>
  <c r="K39" i="8" a="1"/>
  <c r="K39" i="8"/>
  <c r="N39" i="8" a="1"/>
  <c r="N39" i="8"/>
  <c r="Q39" i="8" a="1"/>
  <c r="Q39" i="8"/>
  <c r="T39" i="8" a="1"/>
  <c r="T39" i="8"/>
  <c r="H40" i="8" a="1"/>
  <c r="H40" i="8"/>
  <c r="K40" i="8" a="1"/>
  <c r="K40" i="8"/>
  <c r="N40" i="8" a="1"/>
  <c r="N40" i="8"/>
  <c r="Q40" i="8" a="1"/>
  <c r="Q40" i="8"/>
  <c r="T40" i="8" a="1"/>
  <c r="T40" i="8"/>
  <c r="H41" i="8" a="1"/>
  <c r="H41" i="8"/>
  <c r="K41" i="8" a="1"/>
  <c r="K41" i="8"/>
  <c r="N41" i="8" a="1"/>
  <c r="N41" i="8"/>
  <c r="Q41" i="8" a="1"/>
  <c r="Q41" i="8"/>
  <c r="T41" i="8" a="1"/>
  <c r="T41" i="8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26" i="9"/>
  <c r="A29" i="9"/>
  <c r="A30" i="9"/>
  <c r="A31" i="9"/>
  <c r="A32" i="9"/>
  <c r="A33" i="9"/>
  <c r="A34" i="9"/>
  <c r="A35" i="9"/>
  <c r="A36" i="9"/>
  <c r="A37" i="9"/>
  <c r="A38" i="9"/>
  <c r="A39" i="9"/>
  <c r="A40" i="9"/>
  <c r="A2" i="9"/>
  <c r="A2" i="7"/>
  <c r="AB4" i="9" a="1"/>
  <c r="AB4" i="9" s="1"/>
  <c r="A10" i="9" s="1"/>
  <c r="A28" i="7"/>
  <c r="A31" i="7"/>
  <c r="A32" i="7"/>
  <c r="A33" i="7"/>
  <c r="A34" i="7"/>
  <c r="A35" i="7"/>
  <c r="A36" i="7"/>
  <c r="A37" i="7"/>
  <c r="A38" i="7"/>
  <c r="A39" i="7"/>
  <c r="A40" i="7"/>
  <c r="AB4" i="7" a="1"/>
  <c r="AB4" i="7" s="1"/>
  <c r="A10" i="7" s="1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2" i="8"/>
  <c r="AB4" i="8" a="1"/>
  <c r="AB4" i="8" s="1"/>
  <c r="AB4" i="6" a="1"/>
  <c r="AB4" i="6" s="1"/>
  <c r="A6" i="5"/>
  <c r="A10" i="5"/>
  <c r="A21" i="5"/>
  <c r="A29" i="5"/>
  <c r="A32" i="5"/>
  <c r="A2" i="5"/>
  <c r="A2" i="6"/>
  <c r="AB4" i="5" a="1"/>
  <c r="AB4" i="5"/>
  <c r="Z23" i="5"/>
  <c r="B8" i="1"/>
  <c r="A8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Z22" i="6" a="1"/>
  <c r="Z22" i="6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H7" i="5" a="1"/>
  <c r="H7" i="5"/>
  <c r="K7" i="5" a="1"/>
  <c r="K7" i="5"/>
  <c r="N7" i="5" a="1"/>
  <c r="N7" i="5"/>
  <c r="Q7" i="5" a="1"/>
  <c r="Q7" i="5"/>
  <c r="T7" i="5" a="1"/>
  <c r="T7" i="5"/>
  <c r="H8" i="5" a="1"/>
  <c r="H8" i="5"/>
  <c r="K8" i="5" a="1"/>
  <c r="K8" i="5"/>
  <c r="N8" i="5" a="1"/>
  <c r="N8" i="5"/>
  <c r="Q8" i="5" a="1"/>
  <c r="Q8" i="5"/>
  <c r="T8" i="5" a="1"/>
  <c r="T8" i="5"/>
  <c r="H9" i="5" a="1"/>
  <c r="H9" i="5"/>
  <c r="K9" i="5" a="1"/>
  <c r="K9" i="5"/>
  <c r="N9" i="5" a="1"/>
  <c r="N9" i="5"/>
  <c r="Q9" i="5" a="1"/>
  <c r="Q9" i="5"/>
  <c r="T9" i="5" a="1"/>
  <c r="T9" i="5"/>
  <c r="H10" i="5" a="1"/>
  <c r="H10" i="5"/>
  <c r="K10" i="5" a="1"/>
  <c r="K10" i="5"/>
  <c r="N10" i="5" a="1"/>
  <c r="N10" i="5"/>
  <c r="Q10" i="5" a="1"/>
  <c r="Q10" i="5"/>
  <c r="T10" i="5" a="1"/>
  <c r="T10" i="5"/>
  <c r="H11" i="5" a="1"/>
  <c r="H11" i="5"/>
  <c r="K11" i="5" a="1"/>
  <c r="K11" i="5"/>
  <c r="N11" i="5" a="1"/>
  <c r="N11" i="5"/>
  <c r="Q11" i="5" a="1"/>
  <c r="Q11" i="5"/>
  <c r="T11" i="5" a="1"/>
  <c r="T11" i="5"/>
  <c r="H12" i="5" a="1"/>
  <c r="H12" i="5"/>
  <c r="K12" i="5" a="1"/>
  <c r="K12" i="5"/>
  <c r="N12" i="5" a="1"/>
  <c r="N12" i="5"/>
  <c r="Q12" i="5" a="1"/>
  <c r="Q12" i="5"/>
  <c r="T12" i="5" a="1"/>
  <c r="T12" i="5"/>
  <c r="H13" i="5" a="1"/>
  <c r="H13" i="5"/>
  <c r="K13" i="5" a="1"/>
  <c r="K13" i="5"/>
  <c r="N13" i="5" a="1"/>
  <c r="N13" i="5"/>
  <c r="Q13" i="5" a="1"/>
  <c r="Q13" i="5"/>
  <c r="T13" i="5" a="1"/>
  <c r="T13" i="5"/>
  <c r="H14" i="5" a="1"/>
  <c r="H14" i="5"/>
  <c r="K14" i="5" a="1"/>
  <c r="K14" i="5"/>
  <c r="N14" i="5" a="1"/>
  <c r="N14" i="5"/>
  <c r="Q14" i="5" a="1"/>
  <c r="Q14" i="5"/>
  <c r="T14" i="5" a="1"/>
  <c r="T14" i="5"/>
  <c r="H15" i="5" a="1"/>
  <c r="H15" i="5"/>
  <c r="K15" i="5" a="1"/>
  <c r="K15" i="5"/>
  <c r="N15" i="5" a="1"/>
  <c r="N15" i="5"/>
  <c r="Q15" i="5" a="1"/>
  <c r="Q15" i="5"/>
  <c r="T15" i="5" a="1"/>
  <c r="T15" i="5"/>
  <c r="H16" i="5" a="1"/>
  <c r="H16" i="5"/>
  <c r="K16" i="5" a="1"/>
  <c r="K16" i="5"/>
  <c r="N16" i="5" a="1"/>
  <c r="N16" i="5"/>
  <c r="Q16" i="5" a="1"/>
  <c r="Q16" i="5"/>
  <c r="T16" i="5" a="1"/>
  <c r="T16" i="5"/>
  <c r="H17" i="5" a="1"/>
  <c r="H17" i="5"/>
  <c r="K17" i="5" a="1"/>
  <c r="K17" i="5"/>
  <c r="N17" i="5" a="1"/>
  <c r="N17" i="5"/>
  <c r="Q17" i="5" a="1"/>
  <c r="Q17" i="5"/>
  <c r="T17" i="5" a="1"/>
  <c r="T17" i="5"/>
  <c r="H18" i="5" a="1"/>
  <c r="H18" i="5"/>
  <c r="K18" i="5" a="1"/>
  <c r="K18" i="5"/>
  <c r="N18" i="5" a="1"/>
  <c r="N18" i="5"/>
  <c r="Q18" i="5" a="1"/>
  <c r="Q18" i="5"/>
  <c r="T18" i="5" a="1"/>
  <c r="T18" i="5"/>
  <c r="H19" i="5" a="1"/>
  <c r="H19" i="5"/>
  <c r="K19" i="5" a="1"/>
  <c r="K19" i="5"/>
  <c r="N19" i="5" a="1"/>
  <c r="N19" i="5"/>
  <c r="Q19" i="5" a="1"/>
  <c r="Q19" i="5"/>
  <c r="T19" i="5" a="1"/>
  <c r="T19" i="5"/>
  <c r="H20" i="5" a="1"/>
  <c r="H20" i="5"/>
  <c r="K20" i="5" a="1"/>
  <c r="K20" i="5"/>
  <c r="N20" i="5" a="1"/>
  <c r="N20" i="5"/>
  <c r="Q20" i="5" a="1"/>
  <c r="Q20" i="5"/>
  <c r="T20" i="5" a="1"/>
  <c r="T20" i="5"/>
  <c r="H21" i="5" a="1"/>
  <c r="H21" i="5"/>
  <c r="K21" i="5" a="1"/>
  <c r="K21" i="5"/>
  <c r="N21" i="5" a="1"/>
  <c r="N21" i="5"/>
  <c r="Q21" i="5" a="1"/>
  <c r="Q21" i="5"/>
  <c r="T21" i="5" a="1"/>
  <c r="T21" i="5"/>
  <c r="H22" i="5" a="1"/>
  <c r="H22" i="5"/>
  <c r="K22" i="5" a="1"/>
  <c r="K22" i="5"/>
  <c r="N22" i="5" a="1"/>
  <c r="N22" i="5"/>
  <c r="Q22" i="5" a="1"/>
  <c r="Q22" i="5"/>
  <c r="T22" i="5" a="1"/>
  <c r="T22" i="5"/>
  <c r="H23" i="5" a="1"/>
  <c r="H23" i="5"/>
  <c r="K23" i="5" a="1"/>
  <c r="K23" i="5"/>
  <c r="N23" i="5" a="1"/>
  <c r="N23" i="5"/>
  <c r="Q23" i="5" a="1"/>
  <c r="Q23" i="5"/>
  <c r="T23" i="5" a="1"/>
  <c r="T23" i="5"/>
  <c r="H24" i="5" a="1"/>
  <c r="H24" i="5"/>
  <c r="K24" i="5" a="1"/>
  <c r="K24" i="5"/>
  <c r="N24" i="5" a="1"/>
  <c r="N24" i="5"/>
  <c r="Q24" i="5" a="1"/>
  <c r="Q24" i="5"/>
  <c r="T24" i="5" a="1"/>
  <c r="T24" i="5"/>
  <c r="H25" i="5" a="1"/>
  <c r="H25" i="5"/>
  <c r="K25" i="5" a="1"/>
  <c r="K25" i="5"/>
  <c r="N25" i="5" a="1"/>
  <c r="N25" i="5"/>
  <c r="Q25" i="5" a="1"/>
  <c r="Q25" i="5"/>
  <c r="T25" i="5" a="1"/>
  <c r="T25" i="5"/>
  <c r="H26" i="5" a="1"/>
  <c r="H26" i="5"/>
  <c r="K26" i="5" a="1"/>
  <c r="K26" i="5"/>
  <c r="N26" i="5" a="1"/>
  <c r="N26" i="5"/>
  <c r="Q26" i="5" a="1"/>
  <c r="Q26" i="5"/>
  <c r="T26" i="5" a="1"/>
  <c r="T26" i="5"/>
  <c r="H27" i="5" a="1"/>
  <c r="H27" i="5"/>
  <c r="K27" i="5" a="1"/>
  <c r="K27" i="5"/>
  <c r="N27" i="5" a="1"/>
  <c r="N27" i="5"/>
  <c r="Q27" i="5" a="1"/>
  <c r="Q27" i="5"/>
  <c r="T27" i="5" a="1"/>
  <c r="T27" i="5"/>
  <c r="H28" i="5" a="1"/>
  <c r="H28" i="5"/>
  <c r="K28" i="5" a="1"/>
  <c r="K28" i="5"/>
  <c r="N28" i="5" a="1"/>
  <c r="N28" i="5"/>
  <c r="Q28" i="5" a="1"/>
  <c r="Q28" i="5"/>
  <c r="T28" i="5" a="1"/>
  <c r="T28" i="5"/>
  <c r="H29" i="5" a="1"/>
  <c r="H29" i="5"/>
  <c r="K29" i="5" a="1"/>
  <c r="K29" i="5"/>
  <c r="N29" i="5" a="1"/>
  <c r="N29" i="5"/>
  <c r="Q29" i="5" a="1"/>
  <c r="Q29" i="5"/>
  <c r="T29" i="5" a="1"/>
  <c r="T29" i="5"/>
  <c r="H30" i="5" a="1"/>
  <c r="H30" i="5"/>
  <c r="K30" i="5" a="1"/>
  <c r="K30" i="5"/>
  <c r="N30" i="5" a="1"/>
  <c r="N30" i="5"/>
  <c r="Q30" i="5" a="1"/>
  <c r="Q30" i="5"/>
  <c r="T30" i="5" a="1"/>
  <c r="T30" i="5"/>
  <c r="H31" i="5" a="1"/>
  <c r="H31" i="5"/>
  <c r="K31" i="5" a="1"/>
  <c r="K31" i="5"/>
  <c r="N31" i="5" a="1"/>
  <c r="N31" i="5"/>
  <c r="Q31" i="5" a="1"/>
  <c r="Q31" i="5"/>
  <c r="T31" i="5" a="1"/>
  <c r="T31" i="5"/>
  <c r="H32" i="5" a="1"/>
  <c r="H32" i="5"/>
  <c r="K32" i="5" a="1"/>
  <c r="K32" i="5"/>
  <c r="N32" i="5" a="1"/>
  <c r="N32" i="5"/>
  <c r="Q32" i="5" a="1"/>
  <c r="Q32" i="5"/>
  <c r="T32" i="5" a="1"/>
  <c r="T32" i="5"/>
  <c r="H33" i="5" a="1"/>
  <c r="H33" i="5"/>
  <c r="K33" i="5" a="1"/>
  <c r="K33" i="5"/>
  <c r="N33" i="5" a="1"/>
  <c r="N33" i="5"/>
  <c r="Q33" i="5" a="1"/>
  <c r="Q33" i="5"/>
  <c r="T33" i="5" a="1"/>
  <c r="T33" i="5"/>
  <c r="H34" i="5" a="1"/>
  <c r="H34" i="5"/>
  <c r="K34" i="5" a="1"/>
  <c r="K34" i="5"/>
  <c r="N34" i="5" a="1"/>
  <c r="N34" i="5"/>
  <c r="Q34" i="5" a="1"/>
  <c r="Q34" i="5"/>
  <c r="T34" i="5" a="1"/>
  <c r="T34" i="5"/>
  <c r="H35" i="5" a="1"/>
  <c r="H35" i="5"/>
  <c r="K35" i="5" a="1"/>
  <c r="K35" i="5"/>
  <c r="N35" i="5" a="1"/>
  <c r="N35" i="5"/>
  <c r="Q35" i="5" a="1"/>
  <c r="Q35" i="5"/>
  <c r="T35" i="5" a="1"/>
  <c r="T35" i="5"/>
  <c r="H36" i="5" a="1"/>
  <c r="H36" i="5"/>
  <c r="K36" i="5" a="1"/>
  <c r="K36" i="5"/>
  <c r="N36" i="5" a="1"/>
  <c r="N36" i="5"/>
  <c r="Q36" i="5" a="1"/>
  <c r="Q36" i="5"/>
  <c r="T36" i="5" a="1"/>
  <c r="T36" i="5"/>
  <c r="H37" i="5" a="1"/>
  <c r="H37" i="5"/>
  <c r="K37" i="5" a="1"/>
  <c r="K37" i="5"/>
  <c r="N37" i="5" a="1"/>
  <c r="N37" i="5"/>
  <c r="Q37" i="5" a="1"/>
  <c r="Q37" i="5"/>
  <c r="T37" i="5" a="1"/>
  <c r="T37" i="5"/>
  <c r="H38" i="5" a="1"/>
  <c r="H38" i="5"/>
  <c r="K38" i="5" a="1"/>
  <c r="K38" i="5"/>
  <c r="N38" i="5" a="1"/>
  <c r="N38" i="5"/>
  <c r="Q38" i="5" a="1"/>
  <c r="Q38" i="5"/>
  <c r="T38" i="5" a="1"/>
  <c r="T38" i="5"/>
  <c r="H39" i="5" a="1"/>
  <c r="H39" i="5"/>
  <c r="K39" i="5" a="1"/>
  <c r="K39" i="5"/>
  <c r="N39" i="5" a="1"/>
  <c r="N39" i="5"/>
  <c r="Q39" i="5" a="1"/>
  <c r="Q39" i="5"/>
  <c r="T39" i="5" a="1"/>
  <c r="T39" i="5"/>
  <c r="H40" i="5" a="1"/>
  <c r="H40" i="5"/>
  <c r="K40" i="5" a="1"/>
  <c r="K40" i="5"/>
  <c r="N40" i="5" a="1"/>
  <c r="N40" i="5"/>
  <c r="Q40" i="5" a="1"/>
  <c r="Q40" i="5"/>
  <c r="T40" i="5" a="1"/>
  <c r="T40" i="5"/>
  <c r="H41" i="5" a="1"/>
  <c r="H41" i="5"/>
  <c r="K41" i="5" a="1"/>
  <c r="K41" i="5"/>
  <c r="N41" i="5" a="1"/>
  <c r="N41" i="5"/>
  <c r="Q41" i="5" a="1"/>
  <c r="Q41" i="5"/>
  <c r="T41" i="5" a="1"/>
  <c r="T41" i="5"/>
  <c r="B6" i="5"/>
  <c r="C6" i="5"/>
  <c r="D6" i="5"/>
  <c r="B10" i="5"/>
  <c r="C10" i="5"/>
  <c r="D10" i="5"/>
  <c r="B21" i="5"/>
  <c r="C21" i="5"/>
  <c r="D21" i="5"/>
  <c r="B29" i="5"/>
  <c r="C29" i="5"/>
  <c r="D29" i="5"/>
  <c r="B32" i="5"/>
  <c r="C32" i="5"/>
  <c r="D32" i="5"/>
  <c r="A34" i="5" a="1"/>
  <c r="A34" i="5"/>
  <c r="B34" i="5"/>
  <c r="C34" i="5"/>
  <c r="D34" i="5"/>
  <c r="A35" i="5" a="1"/>
  <c r="A35" i="5"/>
  <c r="B35" i="5"/>
  <c r="C35" i="5"/>
  <c r="D35" i="5"/>
  <c r="A36" i="5" a="1"/>
  <c r="A36" i="5"/>
  <c r="B36" i="5"/>
  <c r="C36" i="5"/>
  <c r="D36" i="5"/>
  <c r="A37" i="5" a="1"/>
  <c r="A37" i="5"/>
  <c r="B37" i="5"/>
  <c r="C37" i="5"/>
  <c r="D37" i="5"/>
  <c r="A38" i="5" a="1"/>
  <c r="A38" i="5"/>
  <c r="B38" i="5"/>
  <c r="C38" i="5"/>
  <c r="D38" i="5"/>
  <c r="A39" i="5" a="1"/>
  <c r="A39" i="5"/>
  <c r="B39" i="5"/>
  <c r="C39" i="5"/>
  <c r="D39" i="5"/>
  <c r="A40" i="5" a="1"/>
  <c r="A40" i="5"/>
  <c r="B40" i="5"/>
  <c r="C40" i="5"/>
  <c r="D40" i="5"/>
  <c r="A41" i="5" a="1"/>
  <c r="A41" i="5"/>
  <c r="B41" i="5"/>
  <c r="C41" i="5"/>
  <c r="D41" i="5"/>
  <c r="B10" i="1"/>
  <c r="B26" i="9"/>
  <c r="C26" i="9"/>
  <c r="D26" i="9"/>
  <c r="B29" i="9"/>
  <c r="C29" i="9"/>
  <c r="D29" i="9"/>
  <c r="B30" i="9"/>
  <c r="C30" i="9"/>
  <c r="D30" i="9"/>
  <c r="B31" i="9"/>
  <c r="C31" i="9"/>
  <c r="D31" i="9"/>
  <c r="B32" i="9"/>
  <c r="C32" i="9"/>
  <c r="D32" i="9"/>
  <c r="B33" i="9"/>
  <c r="C33" i="9"/>
  <c r="D33" i="9"/>
  <c r="B34" i="9"/>
  <c r="C34" i="9"/>
  <c r="D34" i="9"/>
  <c r="B35" i="9"/>
  <c r="C35" i="9"/>
  <c r="D35" i="9"/>
  <c r="B36" i="9"/>
  <c r="C36" i="9"/>
  <c r="D36" i="9"/>
  <c r="B37" i="9"/>
  <c r="C37" i="9"/>
  <c r="D37" i="9"/>
  <c r="B38" i="9"/>
  <c r="C38" i="9"/>
  <c r="D38" i="9"/>
  <c r="B39" i="9"/>
  <c r="C39" i="9"/>
  <c r="D39" i="9"/>
  <c r="B40" i="9"/>
  <c r="C40" i="9"/>
  <c r="D40" i="9"/>
  <c r="B32" i="6"/>
  <c r="C32" i="6"/>
  <c r="D32" i="6"/>
  <c r="B35" i="6"/>
  <c r="C35" i="6"/>
  <c r="D35" i="6"/>
  <c r="B36" i="6"/>
  <c r="C36" i="6"/>
  <c r="D36" i="6"/>
  <c r="B37" i="6"/>
  <c r="C37" i="6"/>
  <c r="D37" i="6"/>
  <c r="B38" i="6"/>
  <c r="C38" i="6"/>
  <c r="D38" i="6"/>
  <c r="B39" i="6"/>
  <c r="C39" i="6"/>
  <c r="D39" i="6"/>
  <c r="B40" i="6"/>
  <c r="C40" i="6"/>
  <c r="D40" i="6"/>
  <c r="B31" i="7"/>
  <c r="C31" i="7"/>
  <c r="D31" i="7"/>
  <c r="B32" i="7"/>
  <c r="C32" i="7"/>
  <c r="D32" i="7"/>
  <c r="B33" i="7"/>
  <c r="C33" i="7"/>
  <c r="D33" i="7"/>
  <c r="B34" i="7"/>
  <c r="C34" i="7"/>
  <c r="D34" i="7"/>
  <c r="B35" i="7"/>
  <c r="C35" i="7"/>
  <c r="D35" i="7"/>
  <c r="B36" i="7"/>
  <c r="C36" i="7"/>
  <c r="D36" i="7"/>
  <c r="B37" i="7"/>
  <c r="C37" i="7"/>
  <c r="D37" i="7"/>
  <c r="B38" i="7"/>
  <c r="C38" i="7"/>
  <c r="D38" i="7"/>
  <c r="B39" i="7"/>
  <c r="C39" i="7"/>
  <c r="D39" i="7"/>
  <c r="B40" i="7"/>
  <c r="C40" i="7"/>
  <c r="D40" i="7"/>
  <c r="B33" i="8"/>
  <c r="C33" i="8"/>
  <c r="D33" i="8"/>
  <c r="B36" i="8"/>
  <c r="C36" i="8"/>
  <c r="D36" i="8"/>
  <c r="B37" i="8"/>
  <c r="C37" i="8"/>
  <c r="D37" i="8"/>
  <c r="B38" i="8"/>
  <c r="C38" i="8"/>
  <c r="D38" i="8"/>
  <c r="B39" i="8"/>
  <c r="C39" i="8"/>
  <c r="D39" i="8"/>
  <c r="B40" i="8"/>
  <c r="C40" i="8"/>
  <c r="D40" i="8"/>
  <c r="B41" i="8"/>
  <c r="C41" i="8"/>
  <c r="D41" i="8"/>
  <c r="C2" i="9"/>
  <c r="D2" i="9" s="1"/>
  <c r="B2" i="9"/>
  <c r="C2" i="8"/>
  <c r="D2" i="8" s="1"/>
  <c r="B2" i="8"/>
  <c r="C2" i="7"/>
  <c r="D2" i="7" s="1"/>
  <c r="B2" i="7"/>
  <c r="B41" i="6"/>
  <c r="B2" i="6"/>
  <c r="C2" i="6" s="1"/>
  <c r="D2" i="6" s="1"/>
  <c r="A18" i="22"/>
  <c r="E10" i="22"/>
  <c r="G9" i="22"/>
  <c r="J12" i="22"/>
  <c r="I12" i="22"/>
  <c r="H12" i="22"/>
  <c r="G12" i="22"/>
  <c r="A15" i="22"/>
  <c r="A17" i="22"/>
  <c r="J12" i="14"/>
  <c r="I12" i="14"/>
  <c r="H12" i="14"/>
  <c r="G12" i="14"/>
  <c r="G9" i="14"/>
  <c r="G9" i="10"/>
  <c r="E10" i="14"/>
  <c r="A15" i="14"/>
  <c r="H1" i="21"/>
  <c r="B2" i="21" a="1"/>
  <c r="B2" i="21"/>
  <c r="E10" i="10"/>
  <c r="A15" i="10"/>
  <c r="A17" i="10"/>
  <c r="N2" i="4"/>
  <c r="K25" i="21"/>
  <c r="L13" i="21"/>
  <c r="J13" i="21"/>
  <c r="J1" i="21"/>
  <c r="C2" i="21" s="1" a="1"/>
  <c r="C2" i="21" s="1"/>
  <c r="I1" i="21"/>
  <c r="T3" i="9" a="1"/>
  <c r="T3" i="9" s="1"/>
  <c r="Q3" i="9" a="1"/>
  <c r="Q3" i="9" s="1"/>
  <c r="N3" i="9" a="1"/>
  <c r="N3" i="9" s="1"/>
  <c r="K3" i="9" a="1"/>
  <c r="K3" i="9" s="1"/>
  <c r="H3" i="9" a="1"/>
  <c r="H3" i="9" s="1"/>
  <c r="T3" i="8" a="1"/>
  <c r="T3" i="8" s="1"/>
  <c r="Q3" i="8" a="1"/>
  <c r="Q3" i="8" s="1"/>
  <c r="N3" i="8" a="1"/>
  <c r="N3" i="8" s="1"/>
  <c r="K3" i="8" a="1"/>
  <c r="K3" i="8" s="1"/>
  <c r="H3" i="8" a="1"/>
  <c r="H3" i="8" s="1"/>
  <c r="T3" i="7" a="1"/>
  <c r="T3" i="7"/>
  <c r="Q3" i="7" a="1"/>
  <c r="Q3" i="7"/>
  <c r="N3" i="7" a="1"/>
  <c r="N3" i="7"/>
  <c r="K3" i="7" a="1"/>
  <c r="K3" i="7"/>
  <c r="H3" i="7" a="1"/>
  <c r="H3" i="7" s="1"/>
  <c r="H3" i="6" a="1"/>
  <c r="H3" i="6"/>
  <c r="T3" i="6" a="1"/>
  <c r="T3" i="6"/>
  <c r="Q3" i="6" a="1"/>
  <c r="Q3" i="6"/>
  <c r="N3" i="6" a="1"/>
  <c r="N3" i="6"/>
  <c r="K3" i="6" a="1"/>
  <c r="K3" i="6"/>
  <c r="H3" i="5" a="1"/>
  <c r="H3" i="5"/>
  <c r="T4" i="5" a="1"/>
  <c r="T4" i="5"/>
  <c r="T5" i="5" a="1"/>
  <c r="T5" i="5"/>
  <c r="T6" i="5" a="1"/>
  <c r="T6" i="5"/>
  <c r="Q4" i="5" a="1"/>
  <c r="Q4" i="5"/>
  <c r="Q5" i="5" a="1"/>
  <c r="Q5" i="5"/>
  <c r="Q6" i="5" a="1"/>
  <c r="Q6" i="5"/>
  <c r="N4" i="5" a="1"/>
  <c r="N4" i="5"/>
  <c r="N5" i="5" a="1"/>
  <c r="N5" i="5"/>
  <c r="N6" i="5" a="1"/>
  <c r="N6" i="5"/>
  <c r="T3" i="5" a="1"/>
  <c r="T3" i="5" s="1"/>
  <c r="Q3" i="5" a="1"/>
  <c r="Q3" i="5"/>
  <c r="N3" i="5" a="1"/>
  <c r="N3" i="5"/>
  <c r="H4" i="5" a="1"/>
  <c r="H4" i="5"/>
  <c r="H5" i="5" a="1"/>
  <c r="H5" i="5"/>
  <c r="H6" i="5" a="1"/>
  <c r="H6" i="5"/>
  <c r="K4" i="5" a="1"/>
  <c r="K4" i="5"/>
  <c r="K5" i="5" a="1"/>
  <c r="K5" i="5"/>
  <c r="K6" i="5" a="1"/>
  <c r="K6" i="5"/>
  <c r="K3" i="5" a="1"/>
  <c r="K3" i="5"/>
  <c r="A18" i="14"/>
  <c r="A17" i="14"/>
  <c r="A18" i="13"/>
  <c r="A17" i="13"/>
  <c r="A18" i="12"/>
  <c r="A17" i="12"/>
  <c r="Y33" i="8"/>
  <c r="AA11" i="8"/>
  <c r="Y40" i="7"/>
  <c r="Y39" i="7"/>
  <c r="Y38" i="7"/>
  <c r="Y37" i="7"/>
  <c r="Y36" i="7"/>
  <c r="Y35" i="7"/>
  <c r="Y34" i="7"/>
  <c r="Y33" i="7"/>
  <c r="Y32" i="7"/>
  <c r="Y31" i="7"/>
  <c r="AA11" i="7"/>
  <c r="Y40" i="6"/>
  <c r="Y39" i="6"/>
  <c r="Y38" i="6"/>
  <c r="Y37" i="6"/>
  <c r="Y36" i="6"/>
  <c r="Y35" i="6"/>
  <c r="Y32" i="6"/>
  <c r="AA11" i="6"/>
  <c r="Y34" i="5"/>
  <c r="Y33" i="5"/>
  <c r="Y32" i="5"/>
  <c r="Y31" i="5"/>
  <c r="Y30" i="5"/>
  <c r="Y29" i="5"/>
  <c r="Y21" i="5"/>
  <c r="Y20" i="5"/>
  <c r="Y18" i="5"/>
  <c r="Y17" i="5"/>
  <c r="Y16" i="5"/>
  <c r="Y15" i="5"/>
  <c r="AA14" i="5"/>
  <c r="L10" i="21" s="1"/>
  <c r="Y14" i="5"/>
  <c r="Y13" i="5"/>
  <c r="Y12" i="5"/>
  <c r="Y11" i="5"/>
  <c r="Y10" i="5"/>
  <c r="Y9" i="5"/>
  <c r="Y8" i="5"/>
  <c r="Y7" i="5"/>
  <c r="Y6" i="5"/>
  <c r="Y5" i="5"/>
  <c r="Y4" i="5"/>
  <c r="Y3" i="5"/>
  <c r="AA11" i="9"/>
  <c r="A10" i="8" l="1"/>
  <c r="A20" i="8"/>
  <c r="A24" i="8"/>
  <c r="N2" i="20"/>
  <c r="N3" i="20"/>
  <c r="N4" i="20"/>
  <c r="N5" i="20"/>
  <c r="N6" i="20"/>
  <c r="P2" i="20"/>
  <c r="P3" i="20"/>
  <c r="P4" i="20"/>
  <c r="P5" i="20"/>
  <c r="P6" i="20"/>
  <c r="O6" i="20"/>
  <c r="O5" i="20"/>
  <c r="O4" i="20"/>
  <c r="O3" i="20"/>
  <c r="O2" i="20"/>
  <c r="A9" i="12"/>
  <c r="A9" i="13"/>
  <c r="A3" i="6"/>
  <c r="A4" i="6"/>
  <c r="A5" i="6"/>
  <c r="A6" i="6"/>
  <c r="A7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I10" i="9"/>
  <c r="J10" i="9" s="1"/>
  <c r="L10" i="9"/>
  <c r="M10" i="9" s="1"/>
  <c r="O10" i="9"/>
  <c r="P10" i="9" s="1"/>
  <c r="R10" i="9"/>
  <c r="S10" i="9" s="1"/>
  <c r="U10" i="9"/>
  <c r="V10" i="9" s="1"/>
  <c r="I40" i="9"/>
  <c r="J40" i="9" s="1"/>
  <c r="L40" i="9"/>
  <c r="M40" i="9" s="1"/>
  <c r="O40" i="9"/>
  <c r="P40" i="9" s="1"/>
  <c r="R40" i="9"/>
  <c r="S40" i="9" s="1"/>
  <c r="U40" i="9"/>
  <c r="V40" i="9" s="1"/>
  <c r="I39" i="9"/>
  <c r="J39" i="9" s="1"/>
  <c r="L39" i="9"/>
  <c r="M39" i="9" s="1"/>
  <c r="O39" i="9"/>
  <c r="P39" i="9" s="1"/>
  <c r="R39" i="9"/>
  <c r="S39" i="9" s="1"/>
  <c r="U39" i="9"/>
  <c r="V39" i="9" s="1"/>
  <c r="I38" i="9"/>
  <c r="J38" i="9" s="1"/>
  <c r="L38" i="9"/>
  <c r="M38" i="9" s="1"/>
  <c r="O38" i="9"/>
  <c r="P38" i="9" s="1"/>
  <c r="R38" i="9"/>
  <c r="S38" i="9" s="1"/>
  <c r="U38" i="9"/>
  <c r="V38" i="9" s="1"/>
  <c r="I37" i="9"/>
  <c r="J37" i="9" s="1"/>
  <c r="L37" i="9"/>
  <c r="M37" i="9" s="1"/>
  <c r="O37" i="9"/>
  <c r="P37" i="9" s="1"/>
  <c r="R37" i="9"/>
  <c r="S37" i="9" s="1"/>
  <c r="U37" i="9"/>
  <c r="V37" i="9" s="1"/>
  <c r="I36" i="9"/>
  <c r="J36" i="9" s="1"/>
  <c r="L36" i="9"/>
  <c r="M36" i="9" s="1"/>
  <c r="O36" i="9"/>
  <c r="P36" i="9" s="1"/>
  <c r="R36" i="9"/>
  <c r="S36" i="9" s="1"/>
  <c r="U36" i="9"/>
  <c r="V36" i="9" s="1"/>
  <c r="I35" i="9"/>
  <c r="J35" i="9" s="1"/>
  <c r="L35" i="9"/>
  <c r="M35" i="9" s="1"/>
  <c r="O35" i="9"/>
  <c r="P35" i="9" s="1"/>
  <c r="R35" i="9"/>
  <c r="S35" i="9" s="1"/>
  <c r="U35" i="9"/>
  <c r="V35" i="9" s="1"/>
  <c r="I34" i="9"/>
  <c r="J34" i="9" s="1"/>
  <c r="L34" i="9"/>
  <c r="M34" i="9" s="1"/>
  <c r="O34" i="9"/>
  <c r="P34" i="9" s="1"/>
  <c r="R34" i="9"/>
  <c r="S34" i="9" s="1"/>
  <c r="U34" i="9"/>
  <c r="V34" i="9" s="1"/>
  <c r="I33" i="9"/>
  <c r="J33" i="9" s="1"/>
  <c r="L33" i="9"/>
  <c r="M33" i="9" s="1"/>
  <c r="O33" i="9"/>
  <c r="P33" i="9" s="1"/>
  <c r="R33" i="9"/>
  <c r="S33" i="9" s="1"/>
  <c r="U33" i="9"/>
  <c r="V33" i="9" s="1"/>
  <c r="I32" i="9"/>
  <c r="J32" i="9" s="1"/>
  <c r="L32" i="9"/>
  <c r="M32" i="9" s="1"/>
  <c r="O32" i="9"/>
  <c r="P32" i="9" s="1"/>
  <c r="R32" i="9"/>
  <c r="S32" i="9" s="1"/>
  <c r="U32" i="9"/>
  <c r="V32" i="9" s="1"/>
  <c r="I31" i="9"/>
  <c r="J31" i="9" s="1"/>
  <c r="L31" i="9"/>
  <c r="M31" i="9" s="1"/>
  <c r="O31" i="9"/>
  <c r="P31" i="9" s="1"/>
  <c r="R31" i="9"/>
  <c r="S31" i="9" s="1"/>
  <c r="U31" i="9"/>
  <c r="V31" i="9" s="1"/>
  <c r="I30" i="9"/>
  <c r="J30" i="9" s="1"/>
  <c r="L30" i="9"/>
  <c r="M30" i="9" s="1"/>
  <c r="O30" i="9"/>
  <c r="P30" i="9" s="1"/>
  <c r="R30" i="9"/>
  <c r="S30" i="9" s="1"/>
  <c r="U30" i="9"/>
  <c r="V30" i="9" s="1"/>
  <c r="I29" i="9"/>
  <c r="J29" i="9" s="1"/>
  <c r="L29" i="9"/>
  <c r="M29" i="9" s="1"/>
  <c r="O29" i="9"/>
  <c r="P29" i="9" s="1"/>
  <c r="R29" i="9"/>
  <c r="S29" i="9" s="1"/>
  <c r="U29" i="9"/>
  <c r="V29" i="9" s="1"/>
  <c r="I26" i="9"/>
  <c r="J26" i="9" s="1"/>
  <c r="L26" i="9"/>
  <c r="M26" i="9" s="1"/>
  <c r="O26" i="9"/>
  <c r="P26" i="9" s="1"/>
  <c r="R26" i="9"/>
  <c r="S26" i="9" s="1"/>
  <c r="U26" i="9"/>
  <c r="V26" i="9" s="1"/>
  <c r="I10" i="7"/>
  <c r="L10" i="7"/>
  <c r="M10" i="7" s="1"/>
  <c r="O10" i="7"/>
  <c r="P10" i="7" s="1"/>
  <c r="R10" i="7"/>
  <c r="S10" i="7" s="1"/>
  <c r="U10" i="7"/>
  <c r="V10" i="7" s="1"/>
  <c r="I40" i="7"/>
  <c r="L40" i="7"/>
  <c r="M40" i="7" s="1"/>
  <c r="O40" i="7"/>
  <c r="P40" i="7" s="1"/>
  <c r="R40" i="7"/>
  <c r="S40" i="7" s="1"/>
  <c r="U40" i="7"/>
  <c r="V40" i="7" s="1"/>
  <c r="I39" i="7"/>
  <c r="L39" i="7"/>
  <c r="M39" i="7" s="1"/>
  <c r="O39" i="7"/>
  <c r="P39" i="7" s="1"/>
  <c r="R39" i="7"/>
  <c r="S39" i="7" s="1"/>
  <c r="U39" i="7"/>
  <c r="V39" i="7" s="1"/>
  <c r="I38" i="7"/>
  <c r="L38" i="7"/>
  <c r="M38" i="7" s="1"/>
  <c r="O38" i="7"/>
  <c r="P38" i="7" s="1"/>
  <c r="R38" i="7"/>
  <c r="S38" i="7" s="1"/>
  <c r="U38" i="7"/>
  <c r="V38" i="7" s="1"/>
  <c r="I37" i="7"/>
  <c r="L37" i="7"/>
  <c r="M37" i="7" s="1"/>
  <c r="O37" i="7"/>
  <c r="P37" i="7" s="1"/>
  <c r="R37" i="7"/>
  <c r="S37" i="7" s="1"/>
  <c r="U37" i="7"/>
  <c r="V37" i="7" s="1"/>
  <c r="I36" i="7"/>
  <c r="L36" i="7"/>
  <c r="M36" i="7" s="1"/>
  <c r="O36" i="7"/>
  <c r="P36" i="7" s="1"/>
  <c r="R36" i="7"/>
  <c r="S36" i="7" s="1"/>
  <c r="U36" i="7"/>
  <c r="V36" i="7" s="1"/>
  <c r="I35" i="7"/>
  <c r="L35" i="7"/>
  <c r="M35" i="7" s="1"/>
  <c r="O35" i="7"/>
  <c r="P35" i="7" s="1"/>
  <c r="R35" i="7"/>
  <c r="S35" i="7" s="1"/>
  <c r="U35" i="7"/>
  <c r="V35" i="7" s="1"/>
  <c r="I34" i="7"/>
  <c r="L34" i="7"/>
  <c r="M34" i="7" s="1"/>
  <c r="O34" i="7"/>
  <c r="P34" i="7" s="1"/>
  <c r="R34" i="7"/>
  <c r="S34" i="7" s="1"/>
  <c r="U34" i="7"/>
  <c r="V34" i="7" s="1"/>
  <c r="I33" i="7"/>
  <c r="L33" i="7"/>
  <c r="M33" i="7" s="1"/>
  <c r="O33" i="7"/>
  <c r="P33" i="7" s="1"/>
  <c r="R33" i="7"/>
  <c r="S33" i="7" s="1"/>
  <c r="U33" i="7"/>
  <c r="V33" i="7" s="1"/>
  <c r="I32" i="7"/>
  <c r="L32" i="7"/>
  <c r="M32" i="7" s="1"/>
  <c r="O32" i="7"/>
  <c r="P32" i="7" s="1"/>
  <c r="R32" i="7"/>
  <c r="S32" i="7" s="1"/>
  <c r="U32" i="7"/>
  <c r="V32" i="7" s="1"/>
  <c r="I31" i="7"/>
  <c r="L31" i="7"/>
  <c r="M31" i="7" s="1"/>
  <c r="O31" i="7"/>
  <c r="P31" i="7" s="1"/>
  <c r="R31" i="7"/>
  <c r="S31" i="7" s="1"/>
  <c r="U31" i="7"/>
  <c r="V31" i="7" s="1"/>
  <c r="I28" i="7"/>
  <c r="L28" i="7"/>
  <c r="M28" i="7" s="1"/>
  <c r="O28" i="7"/>
  <c r="P28" i="7" s="1"/>
  <c r="R28" i="7"/>
  <c r="S28" i="7" s="1"/>
  <c r="U28" i="7"/>
  <c r="V28" i="7" s="1"/>
  <c r="I40" i="6"/>
  <c r="L40" i="6"/>
  <c r="M40" i="6" s="1"/>
  <c r="O40" i="6"/>
  <c r="P40" i="6" s="1"/>
  <c r="R40" i="6"/>
  <c r="S40" i="6" s="1"/>
  <c r="U40" i="6"/>
  <c r="V40" i="6" s="1"/>
  <c r="I39" i="6"/>
  <c r="L39" i="6"/>
  <c r="M39" i="6" s="1"/>
  <c r="O39" i="6"/>
  <c r="P39" i="6" s="1"/>
  <c r="R39" i="6"/>
  <c r="S39" i="6" s="1"/>
  <c r="U39" i="6"/>
  <c r="V39" i="6" s="1"/>
  <c r="I38" i="6"/>
  <c r="L38" i="6"/>
  <c r="M38" i="6" s="1"/>
  <c r="O38" i="6"/>
  <c r="P38" i="6" s="1"/>
  <c r="R38" i="6"/>
  <c r="S38" i="6" s="1"/>
  <c r="U38" i="6"/>
  <c r="V38" i="6" s="1"/>
  <c r="I37" i="6"/>
  <c r="L37" i="6"/>
  <c r="M37" i="6" s="1"/>
  <c r="O37" i="6"/>
  <c r="P37" i="6" s="1"/>
  <c r="R37" i="6"/>
  <c r="S37" i="6" s="1"/>
  <c r="U37" i="6"/>
  <c r="V37" i="6" s="1"/>
  <c r="I36" i="6"/>
  <c r="L36" i="6"/>
  <c r="M36" i="6" s="1"/>
  <c r="O36" i="6"/>
  <c r="P36" i="6" s="1"/>
  <c r="R36" i="6"/>
  <c r="S36" i="6" s="1"/>
  <c r="U36" i="6"/>
  <c r="V36" i="6" s="1"/>
  <c r="I35" i="6"/>
  <c r="L35" i="6"/>
  <c r="M35" i="6" s="1"/>
  <c r="O35" i="6"/>
  <c r="P35" i="6" s="1"/>
  <c r="R35" i="6"/>
  <c r="S35" i="6" s="1"/>
  <c r="U35" i="6"/>
  <c r="V35" i="6" s="1"/>
  <c r="I34" i="6"/>
  <c r="L34" i="6"/>
  <c r="M34" i="6" s="1"/>
  <c r="O34" i="6"/>
  <c r="P34" i="6" s="1"/>
  <c r="R34" i="6"/>
  <c r="S34" i="6" s="1"/>
  <c r="U34" i="6"/>
  <c r="V34" i="6" s="1"/>
  <c r="I33" i="6"/>
  <c r="L33" i="6"/>
  <c r="M33" i="6" s="1"/>
  <c r="O33" i="6"/>
  <c r="P33" i="6" s="1"/>
  <c r="R33" i="6"/>
  <c r="S33" i="6" s="1"/>
  <c r="U33" i="6"/>
  <c r="V33" i="6" s="1"/>
  <c r="I32" i="6"/>
  <c r="L32" i="6"/>
  <c r="M32" i="6" s="1"/>
  <c r="O32" i="6"/>
  <c r="P32" i="6" s="1"/>
  <c r="R32" i="6"/>
  <c r="S32" i="6" s="1"/>
  <c r="U32" i="6"/>
  <c r="V32" i="6" s="1"/>
  <c r="I31" i="6"/>
  <c r="L31" i="6"/>
  <c r="M31" i="6" s="1"/>
  <c r="O31" i="6"/>
  <c r="P31" i="6" s="1"/>
  <c r="R31" i="6"/>
  <c r="S31" i="6" s="1"/>
  <c r="U31" i="6"/>
  <c r="V31" i="6" s="1"/>
  <c r="I30" i="6"/>
  <c r="L30" i="6"/>
  <c r="M30" i="6" s="1"/>
  <c r="O30" i="6"/>
  <c r="P30" i="6" s="1"/>
  <c r="R30" i="6"/>
  <c r="S30" i="6" s="1"/>
  <c r="U30" i="6"/>
  <c r="V30" i="6" s="1"/>
  <c r="I29" i="6"/>
  <c r="L29" i="6"/>
  <c r="M29" i="6" s="1"/>
  <c r="O29" i="6"/>
  <c r="P29" i="6" s="1"/>
  <c r="R29" i="6"/>
  <c r="S29" i="6" s="1"/>
  <c r="U29" i="6"/>
  <c r="V29" i="6" s="1"/>
  <c r="I28" i="6"/>
  <c r="L28" i="6"/>
  <c r="M28" i="6" s="1"/>
  <c r="O28" i="6"/>
  <c r="P28" i="6" s="1"/>
  <c r="R28" i="6"/>
  <c r="S28" i="6" s="1"/>
  <c r="U28" i="6"/>
  <c r="V28" i="6" s="1"/>
  <c r="I27" i="6"/>
  <c r="L27" i="6"/>
  <c r="M27" i="6" s="1"/>
  <c r="O27" i="6"/>
  <c r="P27" i="6" s="1"/>
  <c r="R27" i="6"/>
  <c r="S27" i="6" s="1"/>
  <c r="U27" i="6"/>
  <c r="V27" i="6" s="1"/>
  <c r="I26" i="6"/>
  <c r="L26" i="6"/>
  <c r="M26" i="6" s="1"/>
  <c r="O26" i="6"/>
  <c r="P26" i="6" s="1"/>
  <c r="R26" i="6"/>
  <c r="S26" i="6" s="1"/>
  <c r="U26" i="6"/>
  <c r="V26" i="6" s="1"/>
  <c r="I25" i="6"/>
  <c r="L25" i="6"/>
  <c r="M25" i="6" s="1"/>
  <c r="O25" i="6"/>
  <c r="P25" i="6" s="1"/>
  <c r="R25" i="6"/>
  <c r="S25" i="6" s="1"/>
  <c r="U25" i="6"/>
  <c r="V25" i="6" s="1"/>
  <c r="I24" i="6"/>
  <c r="L24" i="6"/>
  <c r="M24" i="6" s="1"/>
  <c r="O24" i="6"/>
  <c r="P24" i="6" s="1"/>
  <c r="R24" i="6"/>
  <c r="S24" i="6" s="1"/>
  <c r="U24" i="6"/>
  <c r="V24" i="6" s="1"/>
  <c r="I23" i="6"/>
  <c r="L23" i="6"/>
  <c r="M23" i="6" s="1"/>
  <c r="O23" i="6"/>
  <c r="P23" i="6" s="1"/>
  <c r="R23" i="6"/>
  <c r="S23" i="6" s="1"/>
  <c r="U23" i="6"/>
  <c r="V23" i="6" s="1"/>
  <c r="I22" i="6"/>
  <c r="L22" i="6"/>
  <c r="M22" i="6" s="1"/>
  <c r="O22" i="6"/>
  <c r="P22" i="6" s="1"/>
  <c r="R22" i="6"/>
  <c r="S22" i="6" s="1"/>
  <c r="U22" i="6"/>
  <c r="V22" i="6" s="1"/>
  <c r="I21" i="6"/>
  <c r="L21" i="6"/>
  <c r="M21" i="6" s="1"/>
  <c r="O21" i="6"/>
  <c r="P21" i="6" s="1"/>
  <c r="R21" i="6"/>
  <c r="S21" i="6" s="1"/>
  <c r="U21" i="6"/>
  <c r="V21" i="6" s="1"/>
  <c r="I20" i="6"/>
  <c r="L20" i="6"/>
  <c r="M20" i="6" s="1"/>
  <c r="O20" i="6"/>
  <c r="P20" i="6" s="1"/>
  <c r="R20" i="6"/>
  <c r="S20" i="6" s="1"/>
  <c r="U20" i="6"/>
  <c r="V20" i="6" s="1"/>
  <c r="I19" i="6"/>
  <c r="L19" i="6"/>
  <c r="M19" i="6" s="1"/>
  <c r="O19" i="6"/>
  <c r="P19" i="6" s="1"/>
  <c r="R19" i="6"/>
  <c r="S19" i="6" s="1"/>
  <c r="U19" i="6"/>
  <c r="V19" i="6" s="1"/>
  <c r="I18" i="6"/>
  <c r="L18" i="6"/>
  <c r="M18" i="6" s="1"/>
  <c r="O18" i="6"/>
  <c r="P18" i="6" s="1"/>
  <c r="R18" i="6"/>
  <c r="S18" i="6" s="1"/>
  <c r="U18" i="6"/>
  <c r="V18" i="6" s="1"/>
  <c r="I17" i="6"/>
  <c r="L17" i="6"/>
  <c r="M17" i="6" s="1"/>
  <c r="O17" i="6"/>
  <c r="P17" i="6" s="1"/>
  <c r="R17" i="6"/>
  <c r="S17" i="6" s="1"/>
  <c r="U17" i="6"/>
  <c r="V17" i="6" s="1"/>
  <c r="I16" i="6"/>
  <c r="L16" i="6"/>
  <c r="M16" i="6" s="1"/>
  <c r="O16" i="6"/>
  <c r="P16" i="6" s="1"/>
  <c r="R16" i="6"/>
  <c r="S16" i="6" s="1"/>
  <c r="U16" i="6"/>
  <c r="V16" i="6" s="1"/>
  <c r="I15" i="6"/>
  <c r="L15" i="6"/>
  <c r="M15" i="6" s="1"/>
  <c r="O15" i="6"/>
  <c r="P15" i="6" s="1"/>
  <c r="R15" i="6"/>
  <c r="S15" i="6" s="1"/>
  <c r="U15" i="6"/>
  <c r="V15" i="6" s="1"/>
  <c r="I14" i="6"/>
  <c r="L14" i="6"/>
  <c r="M14" i="6" s="1"/>
  <c r="O14" i="6"/>
  <c r="P14" i="6" s="1"/>
  <c r="R14" i="6"/>
  <c r="S14" i="6" s="1"/>
  <c r="U14" i="6"/>
  <c r="V14" i="6" s="1"/>
  <c r="I13" i="6"/>
  <c r="L13" i="6"/>
  <c r="M13" i="6" s="1"/>
  <c r="O13" i="6"/>
  <c r="P13" i="6" s="1"/>
  <c r="R13" i="6"/>
  <c r="S13" i="6" s="1"/>
  <c r="U13" i="6"/>
  <c r="V13" i="6" s="1"/>
  <c r="I12" i="6"/>
  <c r="L12" i="6"/>
  <c r="M12" i="6" s="1"/>
  <c r="O12" i="6"/>
  <c r="P12" i="6" s="1"/>
  <c r="R12" i="6"/>
  <c r="S12" i="6" s="1"/>
  <c r="U12" i="6"/>
  <c r="V12" i="6" s="1"/>
  <c r="I11" i="6"/>
  <c r="L11" i="6"/>
  <c r="M11" i="6" s="1"/>
  <c r="O11" i="6"/>
  <c r="P11" i="6" s="1"/>
  <c r="R11" i="6"/>
  <c r="S11" i="6" s="1"/>
  <c r="U11" i="6"/>
  <c r="V11" i="6" s="1"/>
  <c r="I10" i="6"/>
  <c r="L10" i="6"/>
  <c r="M10" i="6" s="1"/>
  <c r="O10" i="6"/>
  <c r="P10" i="6" s="1"/>
  <c r="R10" i="6"/>
  <c r="S10" i="6" s="1"/>
  <c r="U10" i="6"/>
  <c r="V10" i="6" s="1"/>
  <c r="I9" i="6"/>
  <c r="L9" i="6"/>
  <c r="M9" i="6" s="1"/>
  <c r="O9" i="6"/>
  <c r="P9" i="6" s="1"/>
  <c r="R9" i="6"/>
  <c r="S9" i="6" s="1"/>
  <c r="U9" i="6"/>
  <c r="V9" i="6" s="1"/>
  <c r="I8" i="6"/>
  <c r="L8" i="6"/>
  <c r="M8" i="6" s="1"/>
  <c r="O8" i="6"/>
  <c r="P8" i="6" s="1"/>
  <c r="R8" i="6"/>
  <c r="S8" i="6" s="1"/>
  <c r="U8" i="6"/>
  <c r="V8" i="6" s="1"/>
  <c r="I7" i="6"/>
  <c r="L7" i="6"/>
  <c r="M7" i="6" s="1"/>
  <c r="O7" i="6"/>
  <c r="P7" i="6" s="1"/>
  <c r="R7" i="6"/>
  <c r="S7" i="6" s="1"/>
  <c r="U7" i="6"/>
  <c r="V7" i="6" s="1"/>
  <c r="I6" i="6"/>
  <c r="L6" i="6"/>
  <c r="M6" i="6" s="1"/>
  <c r="O6" i="6"/>
  <c r="P6" i="6" s="1"/>
  <c r="R6" i="6"/>
  <c r="S6" i="6" s="1"/>
  <c r="U6" i="6"/>
  <c r="V6" i="6" s="1"/>
  <c r="I5" i="6"/>
  <c r="L5" i="6"/>
  <c r="M5" i="6" s="1"/>
  <c r="O5" i="6"/>
  <c r="P5" i="6" s="1"/>
  <c r="R5" i="6"/>
  <c r="S5" i="6" s="1"/>
  <c r="U5" i="6"/>
  <c r="V5" i="6" s="1"/>
  <c r="I4" i="6"/>
  <c r="L4" i="6"/>
  <c r="M4" i="6" s="1"/>
  <c r="O4" i="6"/>
  <c r="P4" i="6" s="1"/>
  <c r="R4" i="6"/>
  <c r="S4" i="6" s="1"/>
  <c r="U4" i="6"/>
  <c r="V4" i="6" s="1"/>
  <c r="A3" i="8"/>
  <c r="A4" i="8"/>
  <c r="A5" i="8"/>
  <c r="A6" i="8"/>
  <c r="A7" i="8"/>
  <c r="A8" i="8"/>
  <c r="A9" i="8"/>
  <c r="A11" i="8"/>
  <c r="A12" i="8"/>
  <c r="A13" i="8"/>
  <c r="A14" i="8"/>
  <c r="A15" i="8"/>
  <c r="A16" i="8"/>
  <c r="A17" i="8"/>
  <c r="A18" i="8"/>
  <c r="A19" i="8"/>
  <c r="A21" i="8"/>
  <c r="A22" i="8"/>
  <c r="A23" i="8"/>
  <c r="A25" i="8"/>
  <c r="A26" i="8"/>
  <c r="A3" i="7"/>
  <c r="A4" i="7"/>
  <c r="A5" i="7"/>
  <c r="A6" i="7"/>
  <c r="A7" i="7"/>
  <c r="A8" i="7"/>
  <c r="A9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9" i="7"/>
  <c r="A30" i="7"/>
  <c r="A3" i="9"/>
  <c r="A4" i="9"/>
  <c r="A5" i="9"/>
  <c r="A6" i="9"/>
  <c r="A7" i="9"/>
  <c r="A8" i="9"/>
  <c r="A9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7" i="9"/>
  <c r="A28" i="9"/>
  <c r="I41" i="8"/>
  <c r="J41" i="8" s="1"/>
  <c r="L41" i="8"/>
  <c r="M41" i="8" s="1"/>
  <c r="O41" i="8"/>
  <c r="P41" i="8" s="1"/>
  <c r="R41" i="8"/>
  <c r="S41" i="8" s="1"/>
  <c r="U41" i="8"/>
  <c r="V41" i="8" s="1"/>
  <c r="I40" i="8"/>
  <c r="J40" i="8" s="1"/>
  <c r="L40" i="8"/>
  <c r="M40" i="8" s="1"/>
  <c r="O40" i="8"/>
  <c r="P40" i="8" s="1"/>
  <c r="R40" i="8"/>
  <c r="S40" i="8" s="1"/>
  <c r="U40" i="8"/>
  <c r="V40" i="8" s="1"/>
  <c r="I39" i="8"/>
  <c r="J39" i="8" s="1"/>
  <c r="L39" i="8"/>
  <c r="M39" i="8" s="1"/>
  <c r="O39" i="8"/>
  <c r="P39" i="8" s="1"/>
  <c r="R39" i="8"/>
  <c r="S39" i="8" s="1"/>
  <c r="U39" i="8"/>
  <c r="V39" i="8" s="1"/>
  <c r="I38" i="8"/>
  <c r="J38" i="8" s="1"/>
  <c r="L38" i="8"/>
  <c r="M38" i="8" s="1"/>
  <c r="O38" i="8"/>
  <c r="P38" i="8" s="1"/>
  <c r="R38" i="8"/>
  <c r="S38" i="8" s="1"/>
  <c r="U38" i="8"/>
  <c r="V38" i="8" s="1"/>
  <c r="I37" i="8"/>
  <c r="J37" i="8" s="1"/>
  <c r="L37" i="8"/>
  <c r="M37" i="8" s="1"/>
  <c r="O37" i="8"/>
  <c r="P37" i="8" s="1"/>
  <c r="R37" i="8"/>
  <c r="S37" i="8" s="1"/>
  <c r="U37" i="8"/>
  <c r="V37" i="8" s="1"/>
  <c r="I36" i="8"/>
  <c r="J36" i="8" s="1"/>
  <c r="L36" i="8"/>
  <c r="M36" i="8" s="1"/>
  <c r="O36" i="8"/>
  <c r="P36" i="8" s="1"/>
  <c r="R36" i="8"/>
  <c r="S36" i="8" s="1"/>
  <c r="U36" i="8"/>
  <c r="V36" i="8" s="1"/>
  <c r="I35" i="8"/>
  <c r="J35" i="8" s="1"/>
  <c r="L35" i="8"/>
  <c r="M35" i="8" s="1"/>
  <c r="O35" i="8"/>
  <c r="P35" i="8" s="1"/>
  <c r="R35" i="8"/>
  <c r="S35" i="8" s="1"/>
  <c r="U35" i="8"/>
  <c r="V35" i="8" s="1"/>
  <c r="I34" i="8"/>
  <c r="J34" i="8" s="1"/>
  <c r="L34" i="8"/>
  <c r="M34" i="8" s="1"/>
  <c r="O34" i="8"/>
  <c r="P34" i="8" s="1"/>
  <c r="R34" i="8"/>
  <c r="S34" i="8" s="1"/>
  <c r="U34" i="8"/>
  <c r="V34" i="8" s="1"/>
  <c r="I33" i="8"/>
  <c r="J33" i="8" s="1"/>
  <c r="L33" i="8"/>
  <c r="M33" i="8" s="1"/>
  <c r="O33" i="8"/>
  <c r="P33" i="8" s="1"/>
  <c r="R33" i="8"/>
  <c r="S33" i="8" s="1"/>
  <c r="U33" i="8"/>
  <c r="V33" i="8" s="1"/>
  <c r="I32" i="8"/>
  <c r="J32" i="8" s="1"/>
  <c r="L32" i="8"/>
  <c r="M32" i="8" s="1"/>
  <c r="O32" i="8"/>
  <c r="P32" i="8" s="1"/>
  <c r="R32" i="8"/>
  <c r="S32" i="8" s="1"/>
  <c r="U32" i="8"/>
  <c r="V32" i="8" s="1"/>
  <c r="I31" i="8"/>
  <c r="J31" i="8" s="1"/>
  <c r="L31" i="8"/>
  <c r="M31" i="8" s="1"/>
  <c r="O31" i="8"/>
  <c r="P31" i="8" s="1"/>
  <c r="R31" i="8"/>
  <c r="S31" i="8" s="1"/>
  <c r="U31" i="8"/>
  <c r="V31" i="8" s="1"/>
  <c r="I30" i="8"/>
  <c r="J30" i="8" s="1"/>
  <c r="L30" i="8"/>
  <c r="M30" i="8" s="1"/>
  <c r="O30" i="8"/>
  <c r="P30" i="8" s="1"/>
  <c r="R30" i="8"/>
  <c r="S30" i="8" s="1"/>
  <c r="U30" i="8"/>
  <c r="V30" i="8" s="1"/>
  <c r="I29" i="8"/>
  <c r="J29" i="8" s="1"/>
  <c r="L29" i="8"/>
  <c r="M29" i="8" s="1"/>
  <c r="O29" i="8"/>
  <c r="P29" i="8" s="1"/>
  <c r="R29" i="8"/>
  <c r="S29" i="8" s="1"/>
  <c r="U29" i="8"/>
  <c r="V29" i="8" s="1"/>
  <c r="I28" i="8"/>
  <c r="J28" i="8" s="1"/>
  <c r="L28" i="8"/>
  <c r="M28" i="8" s="1"/>
  <c r="O28" i="8"/>
  <c r="P28" i="8" s="1"/>
  <c r="R28" i="8"/>
  <c r="S28" i="8" s="1"/>
  <c r="U28" i="8"/>
  <c r="V28" i="8" s="1"/>
  <c r="I27" i="8"/>
  <c r="J27" i="8" s="1"/>
  <c r="L27" i="8"/>
  <c r="M27" i="8" s="1"/>
  <c r="O27" i="8"/>
  <c r="P27" i="8" s="1"/>
  <c r="R27" i="8"/>
  <c r="S27" i="8" s="1"/>
  <c r="U27" i="8"/>
  <c r="V27" i="8" s="1"/>
  <c r="I26" i="8"/>
  <c r="J26" i="8" s="1"/>
  <c r="L26" i="8"/>
  <c r="M26" i="8" s="1"/>
  <c r="O26" i="8"/>
  <c r="P26" i="8" s="1"/>
  <c r="R26" i="8"/>
  <c r="S26" i="8" s="1"/>
  <c r="U26" i="8"/>
  <c r="V26" i="8" s="1"/>
  <c r="I25" i="8"/>
  <c r="J25" i="8" s="1"/>
  <c r="L25" i="8"/>
  <c r="M25" i="8" s="1"/>
  <c r="O25" i="8"/>
  <c r="P25" i="8" s="1"/>
  <c r="R25" i="8"/>
  <c r="S25" i="8" s="1"/>
  <c r="U25" i="8"/>
  <c r="V25" i="8" s="1"/>
  <c r="I24" i="8"/>
  <c r="J24" i="8" s="1"/>
  <c r="L24" i="8"/>
  <c r="M24" i="8" s="1"/>
  <c r="O24" i="8"/>
  <c r="P24" i="8" s="1"/>
  <c r="R24" i="8"/>
  <c r="S24" i="8" s="1"/>
  <c r="U24" i="8"/>
  <c r="V24" i="8" s="1"/>
  <c r="I23" i="8"/>
  <c r="J23" i="8" s="1"/>
  <c r="L23" i="8"/>
  <c r="M23" i="8" s="1"/>
  <c r="O23" i="8"/>
  <c r="P23" i="8" s="1"/>
  <c r="R23" i="8"/>
  <c r="S23" i="8" s="1"/>
  <c r="U23" i="8"/>
  <c r="V23" i="8" s="1"/>
  <c r="I22" i="8"/>
  <c r="J22" i="8" s="1"/>
  <c r="L22" i="8"/>
  <c r="M22" i="8" s="1"/>
  <c r="O22" i="8"/>
  <c r="P22" i="8" s="1"/>
  <c r="R22" i="8"/>
  <c r="S22" i="8" s="1"/>
  <c r="U22" i="8"/>
  <c r="V22" i="8" s="1"/>
  <c r="I21" i="8"/>
  <c r="J21" i="8" s="1"/>
  <c r="L21" i="8"/>
  <c r="M21" i="8" s="1"/>
  <c r="O21" i="8"/>
  <c r="P21" i="8" s="1"/>
  <c r="R21" i="8"/>
  <c r="S21" i="8" s="1"/>
  <c r="U21" i="8"/>
  <c r="V21" i="8" s="1"/>
  <c r="I20" i="8"/>
  <c r="J20" i="8" s="1"/>
  <c r="L20" i="8"/>
  <c r="M20" i="8" s="1"/>
  <c r="O20" i="8"/>
  <c r="P20" i="8" s="1"/>
  <c r="R20" i="8"/>
  <c r="S20" i="8" s="1"/>
  <c r="U20" i="8"/>
  <c r="V20" i="8" s="1"/>
  <c r="I19" i="8"/>
  <c r="J19" i="8" s="1"/>
  <c r="L19" i="8"/>
  <c r="M19" i="8" s="1"/>
  <c r="O19" i="8"/>
  <c r="P19" i="8" s="1"/>
  <c r="R19" i="8"/>
  <c r="S19" i="8" s="1"/>
  <c r="U19" i="8"/>
  <c r="V19" i="8" s="1"/>
  <c r="I18" i="8"/>
  <c r="J18" i="8" s="1"/>
  <c r="L18" i="8"/>
  <c r="M18" i="8" s="1"/>
  <c r="O18" i="8"/>
  <c r="P18" i="8" s="1"/>
  <c r="R18" i="8"/>
  <c r="S18" i="8" s="1"/>
  <c r="U18" i="8"/>
  <c r="V18" i="8" s="1"/>
  <c r="I17" i="8"/>
  <c r="J17" i="8" s="1"/>
  <c r="L17" i="8"/>
  <c r="M17" i="8" s="1"/>
  <c r="O17" i="8"/>
  <c r="P17" i="8" s="1"/>
  <c r="R17" i="8"/>
  <c r="S17" i="8" s="1"/>
  <c r="U17" i="8"/>
  <c r="V17" i="8" s="1"/>
  <c r="I16" i="8"/>
  <c r="J16" i="8" s="1"/>
  <c r="L16" i="8"/>
  <c r="M16" i="8" s="1"/>
  <c r="O16" i="8"/>
  <c r="P16" i="8" s="1"/>
  <c r="R16" i="8"/>
  <c r="S16" i="8" s="1"/>
  <c r="U16" i="8"/>
  <c r="V16" i="8" s="1"/>
  <c r="I15" i="8"/>
  <c r="J15" i="8" s="1"/>
  <c r="L15" i="8"/>
  <c r="M15" i="8" s="1"/>
  <c r="O15" i="8"/>
  <c r="P15" i="8" s="1"/>
  <c r="R15" i="8"/>
  <c r="S15" i="8" s="1"/>
  <c r="U15" i="8"/>
  <c r="V15" i="8" s="1"/>
  <c r="I14" i="8"/>
  <c r="J14" i="8" s="1"/>
  <c r="L14" i="8"/>
  <c r="M14" i="8" s="1"/>
  <c r="O14" i="8"/>
  <c r="P14" i="8" s="1"/>
  <c r="R14" i="8"/>
  <c r="S14" i="8" s="1"/>
  <c r="U14" i="8"/>
  <c r="V14" i="8" s="1"/>
  <c r="I13" i="8"/>
  <c r="J13" i="8" s="1"/>
  <c r="L13" i="8"/>
  <c r="M13" i="8" s="1"/>
  <c r="O13" i="8"/>
  <c r="P13" i="8" s="1"/>
  <c r="R13" i="8"/>
  <c r="S13" i="8" s="1"/>
  <c r="U13" i="8"/>
  <c r="V13" i="8" s="1"/>
  <c r="I12" i="8"/>
  <c r="J12" i="8" s="1"/>
  <c r="L12" i="8"/>
  <c r="M12" i="8" s="1"/>
  <c r="O12" i="8"/>
  <c r="P12" i="8" s="1"/>
  <c r="R12" i="8"/>
  <c r="S12" i="8" s="1"/>
  <c r="U12" i="8"/>
  <c r="V12" i="8" s="1"/>
  <c r="I11" i="8"/>
  <c r="J11" i="8" s="1"/>
  <c r="L11" i="8"/>
  <c r="M11" i="8" s="1"/>
  <c r="O11" i="8"/>
  <c r="P11" i="8" s="1"/>
  <c r="R11" i="8"/>
  <c r="S11" i="8" s="1"/>
  <c r="U11" i="8"/>
  <c r="V11" i="8" s="1"/>
  <c r="I10" i="8"/>
  <c r="J10" i="8" s="1"/>
  <c r="L10" i="8"/>
  <c r="M10" i="8" s="1"/>
  <c r="O10" i="8"/>
  <c r="P10" i="8" s="1"/>
  <c r="R10" i="8"/>
  <c r="S10" i="8" s="1"/>
  <c r="U10" i="8"/>
  <c r="V10" i="8" s="1"/>
  <c r="A3" i="5"/>
  <c r="I3" i="5" s="1"/>
  <c r="A4" i="5"/>
  <c r="A5" i="5"/>
  <c r="A7" i="5"/>
  <c r="A8" i="5"/>
  <c r="A9" i="5"/>
  <c r="A11" i="5"/>
  <c r="A12" i="5"/>
  <c r="A13" i="5"/>
  <c r="A14" i="5"/>
  <c r="A15" i="5"/>
  <c r="A16" i="5"/>
  <c r="A17" i="5"/>
  <c r="A18" i="5"/>
  <c r="A19" i="5"/>
  <c r="A20" i="5"/>
  <c r="A22" i="5"/>
  <c r="A23" i="5"/>
  <c r="A24" i="5"/>
  <c r="A25" i="5"/>
  <c r="A26" i="5"/>
  <c r="A27" i="5"/>
  <c r="A28" i="5"/>
  <c r="A30" i="5"/>
  <c r="A31" i="5"/>
  <c r="A33" i="5"/>
  <c r="I41" i="5"/>
  <c r="L41" i="5"/>
  <c r="M41" i="5" s="1"/>
  <c r="O41" i="5"/>
  <c r="P41" i="5" s="1"/>
  <c r="R41" i="5"/>
  <c r="S41" i="5" s="1"/>
  <c r="U41" i="5"/>
  <c r="V41" i="5" s="1"/>
  <c r="I40" i="5"/>
  <c r="L40" i="5"/>
  <c r="M40" i="5" s="1"/>
  <c r="O40" i="5"/>
  <c r="P40" i="5" s="1"/>
  <c r="R40" i="5"/>
  <c r="S40" i="5" s="1"/>
  <c r="U40" i="5"/>
  <c r="V40" i="5" s="1"/>
  <c r="I39" i="5"/>
  <c r="L39" i="5"/>
  <c r="M39" i="5" s="1"/>
  <c r="O39" i="5"/>
  <c r="P39" i="5" s="1"/>
  <c r="R39" i="5"/>
  <c r="S39" i="5" s="1"/>
  <c r="U39" i="5"/>
  <c r="V39" i="5" s="1"/>
  <c r="I38" i="5"/>
  <c r="L38" i="5"/>
  <c r="M38" i="5" s="1"/>
  <c r="O38" i="5"/>
  <c r="P38" i="5" s="1"/>
  <c r="R38" i="5"/>
  <c r="S38" i="5" s="1"/>
  <c r="U38" i="5"/>
  <c r="V38" i="5" s="1"/>
  <c r="I37" i="5"/>
  <c r="L37" i="5"/>
  <c r="M37" i="5" s="1"/>
  <c r="O37" i="5"/>
  <c r="P37" i="5" s="1"/>
  <c r="R37" i="5"/>
  <c r="S37" i="5" s="1"/>
  <c r="U37" i="5"/>
  <c r="V37" i="5" s="1"/>
  <c r="I36" i="5"/>
  <c r="L36" i="5"/>
  <c r="M36" i="5" s="1"/>
  <c r="O36" i="5"/>
  <c r="P36" i="5" s="1"/>
  <c r="R36" i="5"/>
  <c r="S36" i="5" s="1"/>
  <c r="U36" i="5"/>
  <c r="V36" i="5" s="1"/>
  <c r="I35" i="5"/>
  <c r="L35" i="5"/>
  <c r="M35" i="5" s="1"/>
  <c r="O35" i="5"/>
  <c r="P35" i="5" s="1"/>
  <c r="R35" i="5"/>
  <c r="S35" i="5" s="1"/>
  <c r="U35" i="5"/>
  <c r="V35" i="5" s="1"/>
  <c r="I34" i="5"/>
  <c r="L34" i="5"/>
  <c r="M34" i="5" s="1"/>
  <c r="O34" i="5"/>
  <c r="P34" i="5" s="1"/>
  <c r="R34" i="5"/>
  <c r="S34" i="5" s="1"/>
  <c r="U34" i="5"/>
  <c r="V34" i="5" s="1"/>
  <c r="I33" i="5"/>
  <c r="L33" i="5"/>
  <c r="M33" i="5" s="1"/>
  <c r="O33" i="5"/>
  <c r="P33" i="5" s="1"/>
  <c r="R33" i="5"/>
  <c r="S33" i="5" s="1"/>
  <c r="U33" i="5"/>
  <c r="V33" i="5" s="1"/>
  <c r="I32" i="5"/>
  <c r="L32" i="5"/>
  <c r="M32" i="5" s="1"/>
  <c r="O32" i="5"/>
  <c r="P32" i="5" s="1"/>
  <c r="R32" i="5"/>
  <c r="S32" i="5" s="1"/>
  <c r="U32" i="5"/>
  <c r="V32" i="5" s="1"/>
  <c r="I31" i="5"/>
  <c r="L31" i="5"/>
  <c r="M31" i="5" s="1"/>
  <c r="O31" i="5"/>
  <c r="P31" i="5" s="1"/>
  <c r="R31" i="5"/>
  <c r="S31" i="5" s="1"/>
  <c r="U31" i="5"/>
  <c r="V31" i="5" s="1"/>
  <c r="I30" i="5"/>
  <c r="L30" i="5"/>
  <c r="M30" i="5" s="1"/>
  <c r="O30" i="5"/>
  <c r="P30" i="5" s="1"/>
  <c r="R30" i="5"/>
  <c r="S30" i="5" s="1"/>
  <c r="U30" i="5"/>
  <c r="V30" i="5" s="1"/>
  <c r="I29" i="5"/>
  <c r="L29" i="5"/>
  <c r="M29" i="5" s="1"/>
  <c r="O29" i="5"/>
  <c r="P29" i="5" s="1"/>
  <c r="R29" i="5"/>
  <c r="S29" i="5" s="1"/>
  <c r="U29" i="5"/>
  <c r="V29" i="5" s="1"/>
  <c r="I28" i="5"/>
  <c r="L28" i="5"/>
  <c r="M28" i="5" s="1"/>
  <c r="O28" i="5"/>
  <c r="P28" i="5" s="1"/>
  <c r="R28" i="5"/>
  <c r="S28" i="5" s="1"/>
  <c r="U28" i="5"/>
  <c r="V28" i="5" s="1"/>
  <c r="I27" i="5"/>
  <c r="L27" i="5"/>
  <c r="M27" i="5" s="1"/>
  <c r="O27" i="5"/>
  <c r="P27" i="5" s="1"/>
  <c r="R27" i="5"/>
  <c r="S27" i="5" s="1"/>
  <c r="U27" i="5"/>
  <c r="V27" i="5" s="1"/>
  <c r="I26" i="5"/>
  <c r="L26" i="5"/>
  <c r="M26" i="5" s="1"/>
  <c r="O26" i="5"/>
  <c r="P26" i="5" s="1"/>
  <c r="R26" i="5"/>
  <c r="S26" i="5" s="1"/>
  <c r="U26" i="5"/>
  <c r="V26" i="5" s="1"/>
  <c r="I25" i="5"/>
  <c r="L25" i="5"/>
  <c r="M25" i="5" s="1"/>
  <c r="O25" i="5"/>
  <c r="P25" i="5" s="1"/>
  <c r="R25" i="5"/>
  <c r="S25" i="5" s="1"/>
  <c r="U25" i="5"/>
  <c r="V25" i="5" s="1"/>
  <c r="I24" i="5"/>
  <c r="L24" i="5"/>
  <c r="M24" i="5" s="1"/>
  <c r="O24" i="5"/>
  <c r="P24" i="5" s="1"/>
  <c r="R24" i="5"/>
  <c r="S24" i="5" s="1"/>
  <c r="U24" i="5"/>
  <c r="V24" i="5" s="1"/>
  <c r="I23" i="5"/>
  <c r="L23" i="5"/>
  <c r="M23" i="5" s="1"/>
  <c r="O23" i="5"/>
  <c r="P23" i="5" s="1"/>
  <c r="R23" i="5"/>
  <c r="S23" i="5" s="1"/>
  <c r="U23" i="5"/>
  <c r="V23" i="5" s="1"/>
  <c r="I22" i="5"/>
  <c r="L22" i="5"/>
  <c r="M22" i="5" s="1"/>
  <c r="O22" i="5"/>
  <c r="P22" i="5" s="1"/>
  <c r="R22" i="5"/>
  <c r="S22" i="5" s="1"/>
  <c r="U22" i="5"/>
  <c r="V22" i="5" s="1"/>
  <c r="I21" i="5"/>
  <c r="L21" i="5"/>
  <c r="M21" i="5" s="1"/>
  <c r="O21" i="5"/>
  <c r="P21" i="5" s="1"/>
  <c r="R21" i="5"/>
  <c r="S21" i="5" s="1"/>
  <c r="U21" i="5"/>
  <c r="V21" i="5" s="1"/>
  <c r="I20" i="5"/>
  <c r="L20" i="5"/>
  <c r="M20" i="5" s="1"/>
  <c r="O20" i="5"/>
  <c r="P20" i="5" s="1"/>
  <c r="R20" i="5"/>
  <c r="S20" i="5" s="1"/>
  <c r="U20" i="5"/>
  <c r="V20" i="5" s="1"/>
  <c r="I19" i="5"/>
  <c r="L19" i="5"/>
  <c r="M19" i="5" s="1"/>
  <c r="O19" i="5"/>
  <c r="P19" i="5" s="1"/>
  <c r="R19" i="5"/>
  <c r="S19" i="5" s="1"/>
  <c r="U19" i="5"/>
  <c r="V19" i="5" s="1"/>
  <c r="I18" i="5"/>
  <c r="L18" i="5"/>
  <c r="M18" i="5" s="1"/>
  <c r="O18" i="5"/>
  <c r="P18" i="5" s="1"/>
  <c r="R18" i="5"/>
  <c r="S18" i="5" s="1"/>
  <c r="U18" i="5"/>
  <c r="V18" i="5" s="1"/>
  <c r="I17" i="5"/>
  <c r="L17" i="5"/>
  <c r="M17" i="5" s="1"/>
  <c r="O17" i="5"/>
  <c r="P17" i="5" s="1"/>
  <c r="R17" i="5"/>
  <c r="S17" i="5" s="1"/>
  <c r="U17" i="5"/>
  <c r="V17" i="5" s="1"/>
  <c r="I16" i="5"/>
  <c r="L16" i="5"/>
  <c r="M16" i="5" s="1"/>
  <c r="O16" i="5"/>
  <c r="P16" i="5" s="1"/>
  <c r="R16" i="5"/>
  <c r="S16" i="5" s="1"/>
  <c r="U16" i="5"/>
  <c r="V16" i="5" s="1"/>
  <c r="I15" i="5"/>
  <c r="L15" i="5"/>
  <c r="M15" i="5" s="1"/>
  <c r="O15" i="5"/>
  <c r="P15" i="5" s="1"/>
  <c r="R15" i="5"/>
  <c r="S15" i="5" s="1"/>
  <c r="U15" i="5"/>
  <c r="V15" i="5" s="1"/>
  <c r="I14" i="5"/>
  <c r="L14" i="5"/>
  <c r="M14" i="5" s="1"/>
  <c r="O14" i="5"/>
  <c r="P14" i="5" s="1"/>
  <c r="R14" i="5"/>
  <c r="S14" i="5" s="1"/>
  <c r="U14" i="5"/>
  <c r="V14" i="5" s="1"/>
  <c r="I13" i="5"/>
  <c r="L13" i="5"/>
  <c r="M13" i="5" s="1"/>
  <c r="O13" i="5"/>
  <c r="P13" i="5" s="1"/>
  <c r="R13" i="5"/>
  <c r="S13" i="5" s="1"/>
  <c r="U13" i="5"/>
  <c r="V13" i="5" s="1"/>
  <c r="I12" i="5"/>
  <c r="L12" i="5"/>
  <c r="M12" i="5" s="1"/>
  <c r="O12" i="5"/>
  <c r="P12" i="5" s="1"/>
  <c r="R12" i="5"/>
  <c r="S12" i="5" s="1"/>
  <c r="U12" i="5"/>
  <c r="V12" i="5" s="1"/>
  <c r="I11" i="5"/>
  <c r="L11" i="5"/>
  <c r="M11" i="5" s="1"/>
  <c r="O11" i="5"/>
  <c r="P11" i="5" s="1"/>
  <c r="R11" i="5"/>
  <c r="S11" i="5" s="1"/>
  <c r="U11" i="5"/>
  <c r="V11" i="5" s="1"/>
  <c r="I10" i="5"/>
  <c r="L10" i="5"/>
  <c r="M10" i="5" s="1"/>
  <c r="O10" i="5"/>
  <c r="P10" i="5" s="1"/>
  <c r="R10" i="5"/>
  <c r="S10" i="5" s="1"/>
  <c r="U10" i="5"/>
  <c r="V10" i="5" s="1"/>
  <c r="I9" i="5"/>
  <c r="L9" i="5"/>
  <c r="M9" i="5" s="1"/>
  <c r="O9" i="5"/>
  <c r="P9" i="5" s="1"/>
  <c r="R9" i="5"/>
  <c r="S9" i="5" s="1"/>
  <c r="U9" i="5"/>
  <c r="V9" i="5" s="1"/>
  <c r="I8" i="5"/>
  <c r="L8" i="5"/>
  <c r="M8" i="5" s="1"/>
  <c r="O8" i="5"/>
  <c r="P8" i="5" s="1"/>
  <c r="R8" i="5"/>
  <c r="S8" i="5" s="1"/>
  <c r="U8" i="5"/>
  <c r="V8" i="5" s="1"/>
  <c r="I7" i="5"/>
  <c r="L7" i="5"/>
  <c r="M7" i="5" s="1"/>
  <c r="O7" i="5"/>
  <c r="P7" i="5" s="1"/>
  <c r="R7" i="5"/>
  <c r="S7" i="5" s="1"/>
  <c r="U7" i="5"/>
  <c r="V7" i="5" s="1"/>
  <c r="G49" i="10" a="1"/>
  <c r="G49" i="10" s="1"/>
  <c r="F49" i="10" a="1"/>
  <c r="F49" i="10" s="1"/>
  <c r="J17" i="22"/>
  <c r="I17" i="22"/>
  <c r="H17" i="22"/>
  <c r="G17" i="22"/>
  <c r="F17" i="22"/>
  <c r="J17" i="12"/>
  <c r="I17" i="12"/>
  <c r="H17" i="12"/>
  <c r="G17" i="12"/>
  <c r="F17" i="12"/>
  <c r="J17" i="13"/>
  <c r="I17" i="13"/>
  <c r="H17" i="13"/>
  <c r="G17" i="13"/>
  <c r="F17" i="13"/>
  <c r="J17" i="14"/>
  <c r="I17" i="14"/>
  <c r="H17" i="14"/>
  <c r="G17" i="14"/>
  <c r="F17" i="14"/>
  <c r="B10" i="9"/>
  <c r="C10" i="9" s="1"/>
  <c r="D10" i="9" s="1"/>
  <c r="B11" i="8"/>
  <c r="C11" i="8" s="1"/>
  <c r="D11" i="8" s="1"/>
  <c r="C28" i="7"/>
  <c r="D28" i="7" s="1"/>
  <c r="B28" i="7"/>
  <c r="B10" i="7"/>
  <c r="C10" i="7" s="1"/>
  <c r="D10" i="7" s="1"/>
  <c r="B9" i="6"/>
  <c r="I14" i="21"/>
  <c r="I13" i="21"/>
  <c r="I12" i="21"/>
  <c r="I11" i="21"/>
  <c r="B3" i="5"/>
  <c r="C3" i="5" s="1"/>
  <c r="D3" i="5" s="1"/>
  <c r="C2" i="5"/>
  <c r="D2" i="5" s="1"/>
  <c r="B2" i="5"/>
  <c r="I10" i="21"/>
  <c r="I19" i="21" s="1"/>
  <c r="A9" i="10"/>
  <c r="A9" i="22"/>
  <c r="C10" i="22"/>
  <c r="A12" i="10"/>
  <c r="A12" i="22" a="1"/>
  <c r="A12" i="22" s="1"/>
  <c r="C10" i="10"/>
  <c r="A9" i="14"/>
  <c r="H14" i="21" a="1"/>
  <c r="H14" i="21" s="1"/>
  <c r="H13" i="21" a="1"/>
  <c r="H13" i="21" s="1"/>
  <c r="H12" i="21" a="1"/>
  <c r="H12" i="21" s="1"/>
  <c r="H11" i="21" a="1"/>
  <c r="H11" i="21" s="1"/>
  <c r="H10" i="21" a="1"/>
  <c r="H10" i="21" s="1"/>
  <c r="K13" i="21"/>
  <c r="B4" i="9"/>
  <c r="C4" i="9" s="1"/>
  <c r="D4" i="9" s="1"/>
  <c r="B5" i="9"/>
  <c r="C5" i="9" s="1"/>
  <c r="D5" i="9" s="1"/>
  <c r="B6" i="9"/>
  <c r="C6" i="9" s="1"/>
  <c r="D6" i="9" s="1"/>
  <c r="B7" i="9"/>
  <c r="C7" i="9" s="1"/>
  <c r="D7" i="9" s="1"/>
  <c r="B8" i="9"/>
  <c r="C8" i="9" s="1"/>
  <c r="D8" i="9" s="1"/>
  <c r="B9" i="9"/>
  <c r="C9" i="9" s="1"/>
  <c r="D9" i="9" s="1"/>
  <c r="B11" i="9"/>
  <c r="C11" i="9" s="1"/>
  <c r="D11" i="9" s="1"/>
  <c r="B12" i="9"/>
  <c r="C12" i="9" s="1"/>
  <c r="D12" i="9" s="1"/>
  <c r="B13" i="9"/>
  <c r="C13" i="9" s="1"/>
  <c r="D13" i="9" s="1"/>
  <c r="B14" i="9"/>
  <c r="B15" i="9"/>
  <c r="B16" i="9"/>
  <c r="B17" i="9"/>
  <c r="B18" i="9"/>
  <c r="B19" i="9"/>
  <c r="B20" i="9"/>
  <c r="B21" i="9"/>
  <c r="C21" i="9" s="1"/>
  <c r="D21" i="9" s="1"/>
  <c r="B22" i="9"/>
  <c r="C22" i="9" s="1"/>
  <c r="D22" i="9" s="1"/>
  <c r="B23" i="9"/>
  <c r="C23" i="9" s="1"/>
  <c r="D23" i="9" s="1"/>
  <c r="B24" i="9"/>
  <c r="C24" i="9" s="1"/>
  <c r="D24" i="9" s="1"/>
  <c r="B25" i="9"/>
  <c r="C25" i="9" s="1"/>
  <c r="D25" i="9" s="1"/>
  <c r="B3" i="9"/>
  <c r="B3" i="8"/>
  <c r="C3" i="8" s="1"/>
  <c r="D3" i="8" s="1"/>
  <c r="B4" i="8"/>
  <c r="C4" i="8" s="1"/>
  <c r="D4" i="8" s="1"/>
  <c r="B5" i="8"/>
  <c r="C5" i="8" s="1"/>
  <c r="D5" i="8" s="1"/>
  <c r="B6" i="8"/>
  <c r="C6" i="8" s="1"/>
  <c r="D6" i="8" s="1"/>
  <c r="B7" i="8"/>
  <c r="C7" i="8" s="1"/>
  <c r="D7" i="8" s="1"/>
  <c r="B8" i="8"/>
  <c r="C8" i="8" s="1"/>
  <c r="D8" i="8" s="1"/>
  <c r="B9" i="8"/>
  <c r="C9" i="8" s="1"/>
  <c r="D9" i="8" s="1"/>
  <c r="B10" i="8"/>
  <c r="C10" i="8" s="1"/>
  <c r="D10" i="8" s="1"/>
  <c r="B12" i="8"/>
  <c r="C12" i="8" s="1"/>
  <c r="D12" i="8" s="1"/>
  <c r="B13" i="8"/>
  <c r="C13" i="8" s="1"/>
  <c r="D13" i="8" s="1"/>
  <c r="B14" i="8"/>
  <c r="C14" i="8" s="1"/>
  <c r="D14" i="8" s="1"/>
  <c r="B15" i="8"/>
  <c r="C15" i="8" s="1"/>
  <c r="D15" i="8" s="1"/>
  <c r="B16" i="8"/>
  <c r="C16" i="8" s="1"/>
  <c r="D16" i="8" s="1"/>
  <c r="B17" i="8"/>
  <c r="C17" i="8" s="1"/>
  <c r="D17" i="8" s="1"/>
  <c r="B18" i="8"/>
  <c r="C18" i="8" s="1"/>
  <c r="D18" i="8" s="1"/>
  <c r="B19" i="8"/>
  <c r="C19" i="8" s="1"/>
  <c r="D19" i="8" s="1"/>
  <c r="B20" i="8"/>
  <c r="C20" i="8" s="1"/>
  <c r="D20" i="8" s="1"/>
  <c r="B21" i="8"/>
  <c r="C21" i="8" s="1"/>
  <c r="D21" i="8" s="1"/>
  <c r="B22" i="8"/>
  <c r="C22" i="8" s="1"/>
  <c r="D22" i="8" s="1"/>
  <c r="B23" i="8"/>
  <c r="C23" i="8" s="1"/>
  <c r="D23" i="8" s="1"/>
  <c r="B24" i="8"/>
  <c r="C24" i="8" s="1"/>
  <c r="D24" i="8" s="1"/>
  <c r="B25" i="8"/>
  <c r="C25" i="8" s="1"/>
  <c r="D25" i="8" s="1"/>
  <c r="B26" i="8"/>
  <c r="C26" i="8" s="1"/>
  <c r="D26" i="8" s="1"/>
  <c r="B27" i="8"/>
  <c r="C27" i="8" s="1"/>
  <c r="D27" i="8" s="1"/>
  <c r="B28" i="8"/>
  <c r="C28" i="8" s="1"/>
  <c r="D28" i="8" s="1"/>
  <c r="B29" i="8"/>
  <c r="C29" i="8" s="1"/>
  <c r="D29" i="8" s="1"/>
  <c r="B30" i="8"/>
  <c r="C30" i="8" s="1"/>
  <c r="D30" i="8" s="1"/>
  <c r="B31" i="8"/>
  <c r="C31" i="8" s="1"/>
  <c r="D31" i="8" s="1"/>
  <c r="B32" i="8"/>
  <c r="C32" i="8" s="1"/>
  <c r="D32" i="8" s="1"/>
  <c r="B4" i="7"/>
  <c r="C4" i="7" s="1"/>
  <c r="D4" i="7" s="1"/>
  <c r="B5" i="7"/>
  <c r="C5" i="7" s="1"/>
  <c r="D5" i="7" s="1"/>
  <c r="B6" i="7"/>
  <c r="C6" i="7" s="1"/>
  <c r="D6" i="7" s="1"/>
  <c r="B7" i="7"/>
  <c r="C7" i="7" s="1"/>
  <c r="D7" i="7" s="1"/>
  <c r="B8" i="7"/>
  <c r="C8" i="7" s="1"/>
  <c r="D8" i="7" s="1"/>
  <c r="B9" i="7"/>
  <c r="C9" i="7" s="1"/>
  <c r="D9" i="7" s="1"/>
  <c r="B12" i="7"/>
  <c r="C12" i="7" s="1"/>
  <c r="D12" i="7" s="1"/>
  <c r="B13" i="7"/>
  <c r="C13" i="7" s="1"/>
  <c r="D13" i="7" s="1"/>
  <c r="B14" i="7"/>
  <c r="C14" i="7" s="1"/>
  <c r="D14" i="7" s="1"/>
  <c r="B15" i="7"/>
  <c r="C15" i="7" s="1"/>
  <c r="D15" i="7" s="1"/>
  <c r="B16" i="7"/>
  <c r="C16" i="7" s="1"/>
  <c r="D16" i="7" s="1"/>
  <c r="B17" i="7"/>
  <c r="C17" i="7" s="1"/>
  <c r="D17" i="7" s="1"/>
  <c r="B18" i="7"/>
  <c r="C18" i="7" s="1"/>
  <c r="D18" i="7" s="1"/>
  <c r="B19" i="7"/>
  <c r="C19" i="7" s="1"/>
  <c r="D19" i="7" s="1"/>
  <c r="B20" i="7"/>
  <c r="C20" i="7" s="1"/>
  <c r="D20" i="7" s="1"/>
  <c r="B21" i="7"/>
  <c r="C21" i="7" s="1"/>
  <c r="D21" i="7" s="1"/>
  <c r="B22" i="7"/>
  <c r="C22" i="7" s="1"/>
  <c r="D22" i="7" s="1"/>
  <c r="B23" i="7"/>
  <c r="C23" i="7" s="1"/>
  <c r="D23" i="7" s="1"/>
  <c r="B24" i="7"/>
  <c r="C24" i="7" s="1"/>
  <c r="D24" i="7" s="1"/>
  <c r="B25" i="7"/>
  <c r="C25" i="7" s="1"/>
  <c r="D25" i="7" s="1"/>
  <c r="B26" i="7"/>
  <c r="C26" i="7" s="1"/>
  <c r="D26" i="7" s="1"/>
  <c r="B27" i="7"/>
  <c r="C27" i="7" s="1"/>
  <c r="D27" i="7" s="1"/>
  <c r="B29" i="7"/>
  <c r="C29" i="7" s="1"/>
  <c r="D29" i="7" s="1"/>
  <c r="B30" i="7"/>
  <c r="C30" i="7" s="1"/>
  <c r="D30" i="7" s="1"/>
  <c r="B3" i="7"/>
  <c r="C3" i="7" s="1"/>
  <c r="D3" i="7" s="1"/>
  <c r="B4" i="6"/>
  <c r="B5" i="6"/>
  <c r="B3" i="6"/>
  <c r="U3" i="9"/>
  <c r="V3" i="9" s="1"/>
  <c r="R3" i="9"/>
  <c r="O3" i="9"/>
  <c r="P3" i="9" s="1"/>
  <c r="L3" i="9"/>
  <c r="I3" i="9"/>
  <c r="J3" i="9" s="1"/>
  <c r="W29" i="9"/>
  <c r="X29" i="9"/>
  <c r="W30" i="9"/>
  <c r="X30" i="9"/>
  <c r="W31" i="9"/>
  <c r="X31" i="9"/>
  <c r="W32" i="9"/>
  <c r="X32" i="9"/>
  <c r="W33" i="9"/>
  <c r="X33" i="9"/>
  <c r="W34" i="9"/>
  <c r="X34" i="9"/>
  <c r="W35" i="9"/>
  <c r="X35" i="9"/>
  <c r="W36" i="9"/>
  <c r="X36" i="9"/>
  <c r="W37" i="9"/>
  <c r="X37" i="9"/>
  <c r="W38" i="9"/>
  <c r="X38" i="9"/>
  <c r="W39" i="9"/>
  <c r="X39" i="9"/>
  <c r="W40" i="9"/>
  <c r="X40" i="9"/>
  <c r="AC2" i="6" a="1"/>
  <c r="AC2" i="6" s="1"/>
  <c r="AC2" i="5" a="1"/>
  <c r="AC2" i="5" s="1"/>
  <c r="C10" i="14" a="1"/>
  <c r="C10" i="14" s="1"/>
  <c r="C10" i="13" a="1"/>
  <c r="C10" i="13" s="1"/>
  <c r="C10" i="12" a="1"/>
  <c r="C10" i="12" s="1"/>
  <c r="AA2" i="6" a="1"/>
  <c r="AA2" i="6" s="1"/>
  <c r="AA2" i="5" a="1"/>
  <c r="AA2" i="5" s="1"/>
  <c r="A12" i="14" a="1"/>
  <c r="A12" i="14" s="1"/>
  <c r="A12" i="13" a="1"/>
  <c r="A12" i="13" s="1"/>
  <c r="A12" i="12" a="1"/>
  <c r="A12" i="12" s="1"/>
  <c r="W36" i="8"/>
  <c r="X36" i="8"/>
  <c r="W37" i="8"/>
  <c r="X37" i="8"/>
  <c r="W38" i="8"/>
  <c r="X38" i="8"/>
  <c r="W39" i="8"/>
  <c r="X39" i="8"/>
  <c r="W40" i="8"/>
  <c r="X40" i="8"/>
  <c r="W41" i="8"/>
  <c r="X41" i="8"/>
  <c r="Y22" i="5" l="1"/>
  <c r="Y23" i="5"/>
  <c r="Y24" i="5"/>
  <c r="Y25" i="5"/>
  <c r="Y27" i="5"/>
  <c r="I14" i="9"/>
  <c r="J14" i="9" s="1"/>
  <c r="L14" i="9"/>
  <c r="M14" i="9" s="1"/>
  <c r="O14" i="9"/>
  <c r="P14" i="9" s="1"/>
  <c r="R14" i="9"/>
  <c r="S14" i="9" s="1"/>
  <c r="U14" i="9"/>
  <c r="V14" i="9" s="1"/>
  <c r="I13" i="9"/>
  <c r="J13" i="9" s="1"/>
  <c r="L13" i="9"/>
  <c r="M13" i="9" s="1"/>
  <c r="O13" i="9"/>
  <c r="P13" i="9" s="1"/>
  <c r="R13" i="9"/>
  <c r="S13" i="9" s="1"/>
  <c r="U13" i="9"/>
  <c r="V13" i="9" s="1"/>
  <c r="I12" i="9"/>
  <c r="J12" i="9" s="1"/>
  <c r="L12" i="9"/>
  <c r="M12" i="9" s="1"/>
  <c r="O12" i="9"/>
  <c r="P12" i="9" s="1"/>
  <c r="R12" i="9"/>
  <c r="S12" i="9" s="1"/>
  <c r="U12" i="9"/>
  <c r="V12" i="9" s="1"/>
  <c r="I11" i="9"/>
  <c r="J11" i="9" s="1"/>
  <c r="L11" i="9"/>
  <c r="M11" i="9" s="1"/>
  <c r="O11" i="9"/>
  <c r="P11" i="9" s="1"/>
  <c r="R11" i="9"/>
  <c r="S11" i="9" s="1"/>
  <c r="U11" i="9"/>
  <c r="V11" i="9" s="1"/>
  <c r="I9" i="9"/>
  <c r="J9" i="9" s="1"/>
  <c r="L9" i="9"/>
  <c r="M9" i="9" s="1"/>
  <c r="O9" i="9"/>
  <c r="P9" i="9" s="1"/>
  <c r="R9" i="9"/>
  <c r="S9" i="9" s="1"/>
  <c r="U9" i="9"/>
  <c r="V9" i="9" s="1"/>
  <c r="I8" i="9"/>
  <c r="J8" i="9" s="1"/>
  <c r="L8" i="9"/>
  <c r="M8" i="9" s="1"/>
  <c r="O8" i="9"/>
  <c r="P8" i="9" s="1"/>
  <c r="R8" i="9"/>
  <c r="S8" i="9" s="1"/>
  <c r="U8" i="9"/>
  <c r="V8" i="9" s="1"/>
  <c r="I7" i="9"/>
  <c r="J7" i="9" s="1"/>
  <c r="L7" i="9"/>
  <c r="M7" i="9" s="1"/>
  <c r="O7" i="9"/>
  <c r="P7" i="9" s="1"/>
  <c r="R7" i="9"/>
  <c r="S7" i="9" s="1"/>
  <c r="U7" i="9"/>
  <c r="V7" i="9" s="1"/>
  <c r="I6" i="9"/>
  <c r="J6" i="9" s="1"/>
  <c r="L6" i="9"/>
  <c r="M6" i="9" s="1"/>
  <c r="O6" i="9"/>
  <c r="P6" i="9" s="1"/>
  <c r="R6" i="9"/>
  <c r="S6" i="9" s="1"/>
  <c r="U6" i="9"/>
  <c r="V6" i="9" s="1"/>
  <c r="I5" i="9"/>
  <c r="J5" i="9" s="1"/>
  <c r="L5" i="9"/>
  <c r="M5" i="9" s="1"/>
  <c r="O5" i="9"/>
  <c r="P5" i="9" s="1"/>
  <c r="R5" i="9"/>
  <c r="S5" i="9" s="1"/>
  <c r="U5" i="9"/>
  <c r="V5" i="9" s="1"/>
  <c r="I4" i="9"/>
  <c r="J4" i="9" s="1"/>
  <c r="L4" i="9"/>
  <c r="M4" i="9" s="1"/>
  <c r="O4" i="9"/>
  <c r="P4" i="9" s="1"/>
  <c r="R4" i="9"/>
  <c r="S4" i="9" s="1"/>
  <c r="U4" i="9"/>
  <c r="V4" i="9" s="1"/>
  <c r="I28" i="9"/>
  <c r="J28" i="9" s="1"/>
  <c r="L28" i="9"/>
  <c r="M28" i="9" s="1"/>
  <c r="O28" i="9"/>
  <c r="P28" i="9" s="1"/>
  <c r="R28" i="9"/>
  <c r="S28" i="9" s="1"/>
  <c r="U28" i="9"/>
  <c r="V28" i="9" s="1"/>
  <c r="I27" i="9"/>
  <c r="J27" i="9" s="1"/>
  <c r="L27" i="9"/>
  <c r="M27" i="9" s="1"/>
  <c r="O27" i="9"/>
  <c r="P27" i="9" s="1"/>
  <c r="R27" i="9"/>
  <c r="S27" i="9" s="1"/>
  <c r="U27" i="9"/>
  <c r="V27" i="9" s="1"/>
  <c r="I25" i="9"/>
  <c r="J25" i="9" s="1"/>
  <c r="L25" i="9"/>
  <c r="M25" i="9" s="1"/>
  <c r="O25" i="9"/>
  <c r="P25" i="9" s="1"/>
  <c r="R25" i="9"/>
  <c r="S25" i="9" s="1"/>
  <c r="U25" i="9"/>
  <c r="V25" i="9" s="1"/>
  <c r="I24" i="9"/>
  <c r="J24" i="9" s="1"/>
  <c r="L24" i="9"/>
  <c r="M24" i="9" s="1"/>
  <c r="O24" i="9"/>
  <c r="P24" i="9" s="1"/>
  <c r="R24" i="9"/>
  <c r="S24" i="9" s="1"/>
  <c r="U24" i="9"/>
  <c r="V24" i="9" s="1"/>
  <c r="I23" i="9"/>
  <c r="J23" i="9" s="1"/>
  <c r="L23" i="9"/>
  <c r="M23" i="9" s="1"/>
  <c r="O23" i="9"/>
  <c r="P23" i="9" s="1"/>
  <c r="R23" i="9"/>
  <c r="S23" i="9" s="1"/>
  <c r="U23" i="9"/>
  <c r="V23" i="9" s="1"/>
  <c r="I22" i="9"/>
  <c r="J22" i="9" s="1"/>
  <c r="L22" i="9"/>
  <c r="M22" i="9" s="1"/>
  <c r="O22" i="9"/>
  <c r="P22" i="9" s="1"/>
  <c r="R22" i="9"/>
  <c r="S22" i="9" s="1"/>
  <c r="U22" i="9"/>
  <c r="V22" i="9" s="1"/>
  <c r="I21" i="9"/>
  <c r="J21" i="9" s="1"/>
  <c r="L21" i="9"/>
  <c r="M21" i="9" s="1"/>
  <c r="O21" i="9"/>
  <c r="P21" i="9" s="1"/>
  <c r="R21" i="9"/>
  <c r="S21" i="9" s="1"/>
  <c r="U21" i="9"/>
  <c r="V21" i="9" s="1"/>
  <c r="I20" i="9"/>
  <c r="J20" i="9" s="1"/>
  <c r="L20" i="9"/>
  <c r="M20" i="9" s="1"/>
  <c r="O20" i="9"/>
  <c r="P20" i="9" s="1"/>
  <c r="R20" i="9"/>
  <c r="S20" i="9" s="1"/>
  <c r="U20" i="9"/>
  <c r="V20" i="9" s="1"/>
  <c r="I19" i="9"/>
  <c r="J19" i="9" s="1"/>
  <c r="L19" i="9"/>
  <c r="M19" i="9" s="1"/>
  <c r="O19" i="9"/>
  <c r="P19" i="9" s="1"/>
  <c r="R19" i="9"/>
  <c r="S19" i="9" s="1"/>
  <c r="U19" i="9"/>
  <c r="V19" i="9" s="1"/>
  <c r="I18" i="9"/>
  <c r="J18" i="9" s="1"/>
  <c r="L18" i="9"/>
  <c r="M18" i="9" s="1"/>
  <c r="O18" i="9"/>
  <c r="P18" i="9" s="1"/>
  <c r="R18" i="9"/>
  <c r="S18" i="9" s="1"/>
  <c r="U18" i="9"/>
  <c r="V18" i="9" s="1"/>
  <c r="I17" i="9"/>
  <c r="J17" i="9" s="1"/>
  <c r="L17" i="9"/>
  <c r="M17" i="9" s="1"/>
  <c r="O17" i="9"/>
  <c r="P17" i="9" s="1"/>
  <c r="R17" i="9"/>
  <c r="S17" i="9" s="1"/>
  <c r="U17" i="9"/>
  <c r="V17" i="9" s="1"/>
  <c r="I16" i="9"/>
  <c r="J16" i="9" s="1"/>
  <c r="L16" i="9"/>
  <c r="M16" i="9" s="1"/>
  <c r="O16" i="9"/>
  <c r="P16" i="9" s="1"/>
  <c r="R16" i="9"/>
  <c r="S16" i="9" s="1"/>
  <c r="U16" i="9"/>
  <c r="V16" i="9" s="1"/>
  <c r="I15" i="9"/>
  <c r="J15" i="9" s="1"/>
  <c r="L15" i="9"/>
  <c r="M15" i="9" s="1"/>
  <c r="O15" i="9"/>
  <c r="P15" i="9" s="1"/>
  <c r="R15" i="9"/>
  <c r="S15" i="9" s="1"/>
  <c r="U15" i="9"/>
  <c r="V15" i="9" s="1"/>
  <c r="I15" i="7"/>
  <c r="L15" i="7"/>
  <c r="M15" i="7" s="1"/>
  <c r="O15" i="7"/>
  <c r="P15" i="7" s="1"/>
  <c r="R15" i="7"/>
  <c r="S15" i="7" s="1"/>
  <c r="U15" i="7"/>
  <c r="V15" i="7" s="1"/>
  <c r="I14" i="7"/>
  <c r="L14" i="7"/>
  <c r="M14" i="7" s="1"/>
  <c r="O14" i="7"/>
  <c r="P14" i="7" s="1"/>
  <c r="R14" i="7"/>
  <c r="S14" i="7" s="1"/>
  <c r="U14" i="7"/>
  <c r="V14" i="7" s="1"/>
  <c r="I13" i="7"/>
  <c r="L13" i="7"/>
  <c r="M13" i="7" s="1"/>
  <c r="O13" i="7"/>
  <c r="P13" i="7" s="1"/>
  <c r="R13" i="7"/>
  <c r="S13" i="7" s="1"/>
  <c r="U13" i="7"/>
  <c r="V13" i="7" s="1"/>
  <c r="I12" i="7"/>
  <c r="L12" i="7"/>
  <c r="M12" i="7" s="1"/>
  <c r="O12" i="7"/>
  <c r="P12" i="7" s="1"/>
  <c r="R12" i="7"/>
  <c r="S12" i="7" s="1"/>
  <c r="U12" i="7"/>
  <c r="V12" i="7" s="1"/>
  <c r="I11" i="7"/>
  <c r="L11" i="7"/>
  <c r="M11" i="7" s="1"/>
  <c r="O11" i="7"/>
  <c r="P11" i="7" s="1"/>
  <c r="R11" i="7"/>
  <c r="S11" i="7" s="1"/>
  <c r="U11" i="7"/>
  <c r="V11" i="7" s="1"/>
  <c r="I9" i="7"/>
  <c r="L9" i="7"/>
  <c r="M9" i="7" s="1"/>
  <c r="O9" i="7"/>
  <c r="P9" i="7" s="1"/>
  <c r="R9" i="7"/>
  <c r="S9" i="7" s="1"/>
  <c r="U9" i="7"/>
  <c r="V9" i="7" s="1"/>
  <c r="I8" i="7"/>
  <c r="L8" i="7"/>
  <c r="M8" i="7" s="1"/>
  <c r="O8" i="7"/>
  <c r="P8" i="7" s="1"/>
  <c r="R8" i="7"/>
  <c r="S8" i="7" s="1"/>
  <c r="U8" i="7"/>
  <c r="V8" i="7" s="1"/>
  <c r="I7" i="7"/>
  <c r="L7" i="7"/>
  <c r="M7" i="7" s="1"/>
  <c r="O7" i="7"/>
  <c r="P7" i="7" s="1"/>
  <c r="R7" i="7"/>
  <c r="S7" i="7" s="1"/>
  <c r="U7" i="7"/>
  <c r="V7" i="7" s="1"/>
  <c r="I6" i="7"/>
  <c r="L6" i="7"/>
  <c r="M6" i="7" s="1"/>
  <c r="O6" i="7"/>
  <c r="P6" i="7" s="1"/>
  <c r="R6" i="7"/>
  <c r="S6" i="7" s="1"/>
  <c r="U6" i="7"/>
  <c r="V6" i="7" s="1"/>
  <c r="I5" i="7"/>
  <c r="L5" i="7"/>
  <c r="M5" i="7" s="1"/>
  <c r="O5" i="7"/>
  <c r="P5" i="7" s="1"/>
  <c r="R5" i="7"/>
  <c r="S5" i="7" s="1"/>
  <c r="U5" i="7"/>
  <c r="V5" i="7" s="1"/>
  <c r="I4" i="7"/>
  <c r="L4" i="7"/>
  <c r="M4" i="7" s="1"/>
  <c r="O4" i="7"/>
  <c r="P4" i="7" s="1"/>
  <c r="R4" i="7"/>
  <c r="S4" i="7" s="1"/>
  <c r="U4" i="7"/>
  <c r="V4" i="7" s="1"/>
  <c r="J10" i="7"/>
  <c r="W10" i="7"/>
  <c r="I16" i="7"/>
  <c r="L16" i="7"/>
  <c r="M16" i="7" s="1"/>
  <c r="O16" i="7"/>
  <c r="P16" i="7" s="1"/>
  <c r="R16" i="7"/>
  <c r="S16" i="7" s="1"/>
  <c r="U16" i="7"/>
  <c r="V16" i="7" s="1"/>
  <c r="I18" i="7"/>
  <c r="L18" i="7"/>
  <c r="M18" i="7" s="1"/>
  <c r="O18" i="7"/>
  <c r="P18" i="7" s="1"/>
  <c r="R18" i="7"/>
  <c r="S18" i="7" s="1"/>
  <c r="U18" i="7"/>
  <c r="V18" i="7" s="1"/>
  <c r="I17" i="7"/>
  <c r="L17" i="7"/>
  <c r="M17" i="7" s="1"/>
  <c r="O17" i="7"/>
  <c r="P17" i="7" s="1"/>
  <c r="R17" i="7"/>
  <c r="S17" i="7" s="1"/>
  <c r="U17" i="7"/>
  <c r="V17" i="7" s="1"/>
  <c r="I30" i="7"/>
  <c r="L30" i="7"/>
  <c r="M30" i="7" s="1"/>
  <c r="O30" i="7"/>
  <c r="P30" i="7" s="1"/>
  <c r="R30" i="7"/>
  <c r="S30" i="7" s="1"/>
  <c r="U30" i="7"/>
  <c r="V30" i="7" s="1"/>
  <c r="I29" i="7"/>
  <c r="L29" i="7"/>
  <c r="M29" i="7" s="1"/>
  <c r="O29" i="7"/>
  <c r="P29" i="7" s="1"/>
  <c r="R29" i="7"/>
  <c r="S29" i="7" s="1"/>
  <c r="U29" i="7"/>
  <c r="V29" i="7" s="1"/>
  <c r="I27" i="7"/>
  <c r="L27" i="7"/>
  <c r="M27" i="7" s="1"/>
  <c r="O27" i="7"/>
  <c r="P27" i="7" s="1"/>
  <c r="R27" i="7"/>
  <c r="S27" i="7" s="1"/>
  <c r="U27" i="7"/>
  <c r="V27" i="7" s="1"/>
  <c r="I26" i="7"/>
  <c r="L26" i="7"/>
  <c r="M26" i="7" s="1"/>
  <c r="O26" i="7"/>
  <c r="P26" i="7" s="1"/>
  <c r="R26" i="7"/>
  <c r="S26" i="7" s="1"/>
  <c r="U26" i="7"/>
  <c r="V26" i="7" s="1"/>
  <c r="I25" i="7"/>
  <c r="L25" i="7"/>
  <c r="M25" i="7" s="1"/>
  <c r="O25" i="7"/>
  <c r="P25" i="7" s="1"/>
  <c r="R25" i="7"/>
  <c r="S25" i="7" s="1"/>
  <c r="U25" i="7"/>
  <c r="V25" i="7" s="1"/>
  <c r="I24" i="7"/>
  <c r="L24" i="7"/>
  <c r="M24" i="7" s="1"/>
  <c r="O24" i="7"/>
  <c r="P24" i="7" s="1"/>
  <c r="R24" i="7"/>
  <c r="S24" i="7" s="1"/>
  <c r="U24" i="7"/>
  <c r="V24" i="7" s="1"/>
  <c r="I23" i="7"/>
  <c r="L23" i="7"/>
  <c r="M23" i="7" s="1"/>
  <c r="O23" i="7"/>
  <c r="P23" i="7" s="1"/>
  <c r="R23" i="7"/>
  <c r="S23" i="7" s="1"/>
  <c r="U23" i="7"/>
  <c r="V23" i="7" s="1"/>
  <c r="I22" i="7"/>
  <c r="L22" i="7"/>
  <c r="M22" i="7" s="1"/>
  <c r="O22" i="7"/>
  <c r="P22" i="7" s="1"/>
  <c r="R22" i="7"/>
  <c r="S22" i="7" s="1"/>
  <c r="U22" i="7"/>
  <c r="V22" i="7" s="1"/>
  <c r="I21" i="7"/>
  <c r="L21" i="7"/>
  <c r="M21" i="7" s="1"/>
  <c r="O21" i="7"/>
  <c r="P21" i="7" s="1"/>
  <c r="R21" i="7"/>
  <c r="S21" i="7" s="1"/>
  <c r="U21" i="7"/>
  <c r="V21" i="7" s="1"/>
  <c r="I20" i="7"/>
  <c r="L20" i="7"/>
  <c r="M20" i="7" s="1"/>
  <c r="O20" i="7"/>
  <c r="P20" i="7" s="1"/>
  <c r="R20" i="7"/>
  <c r="S20" i="7" s="1"/>
  <c r="U20" i="7"/>
  <c r="V20" i="7" s="1"/>
  <c r="I19" i="7"/>
  <c r="L19" i="7"/>
  <c r="M19" i="7" s="1"/>
  <c r="O19" i="7"/>
  <c r="P19" i="7" s="1"/>
  <c r="R19" i="7"/>
  <c r="S19" i="7" s="1"/>
  <c r="U19" i="7"/>
  <c r="V19" i="7" s="1"/>
  <c r="J28" i="7"/>
  <c r="W28" i="7"/>
  <c r="J31" i="7"/>
  <c r="X31" i="7" s="1"/>
  <c r="W31" i="7"/>
  <c r="J32" i="7"/>
  <c r="X32" i="7" s="1"/>
  <c r="W32" i="7"/>
  <c r="J33" i="7"/>
  <c r="X33" i="7" s="1"/>
  <c r="W33" i="7"/>
  <c r="J34" i="7"/>
  <c r="X34" i="7" s="1"/>
  <c r="W34" i="7"/>
  <c r="J35" i="7"/>
  <c r="X35" i="7" s="1"/>
  <c r="W35" i="7"/>
  <c r="J36" i="7"/>
  <c r="X36" i="7" s="1"/>
  <c r="W36" i="7"/>
  <c r="J37" i="7"/>
  <c r="X37" i="7" s="1"/>
  <c r="W37" i="7"/>
  <c r="J38" i="7"/>
  <c r="X38" i="7" s="1"/>
  <c r="W38" i="7"/>
  <c r="J39" i="7"/>
  <c r="X39" i="7" s="1"/>
  <c r="W39" i="7"/>
  <c r="J40" i="7"/>
  <c r="X40" i="7" s="1"/>
  <c r="W40" i="7"/>
  <c r="I9" i="8"/>
  <c r="J9" i="8" s="1"/>
  <c r="L9" i="8"/>
  <c r="M9" i="8" s="1"/>
  <c r="O9" i="8"/>
  <c r="P9" i="8" s="1"/>
  <c r="R9" i="8"/>
  <c r="S9" i="8" s="1"/>
  <c r="U9" i="8"/>
  <c r="V9" i="8" s="1"/>
  <c r="I8" i="8"/>
  <c r="J8" i="8" s="1"/>
  <c r="L8" i="8"/>
  <c r="M8" i="8" s="1"/>
  <c r="O8" i="8"/>
  <c r="P8" i="8" s="1"/>
  <c r="R8" i="8"/>
  <c r="S8" i="8" s="1"/>
  <c r="U8" i="8"/>
  <c r="V8" i="8" s="1"/>
  <c r="I7" i="8"/>
  <c r="J7" i="8" s="1"/>
  <c r="L7" i="8"/>
  <c r="M7" i="8" s="1"/>
  <c r="O7" i="8"/>
  <c r="P7" i="8" s="1"/>
  <c r="R7" i="8"/>
  <c r="S7" i="8" s="1"/>
  <c r="U7" i="8"/>
  <c r="V7" i="8" s="1"/>
  <c r="I6" i="8"/>
  <c r="J6" i="8" s="1"/>
  <c r="L6" i="8"/>
  <c r="M6" i="8" s="1"/>
  <c r="O6" i="8"/>
  <c r="P6" i="8" s="1"/>
  <c r="R6" i="8"/>
  <c r="S6" i="8" s="1"/>
  <c r="U6" i="8"/>
  <c r="V6" i="8" s="1"/>
  <c r="I5" i="8"/>
  <c r="J5" i="8" s="1"/>
  <c r="L5" i="8"/>
  <c r="M5" i="8" s="1"/>
  <c r="O5" i="8"/>
  <c r="P5" i="8" s="1"/>
  <c r="R5" i="8"/>
  <c r="S5" i="8" s="1"/>
  <c r="U5" i="8"/>
  <c r="V5" i="8" s="1"/>
  <c r="I4" i="8"/>
  <c r="J4" i="8" s="1"/>
  <c r="L4" i="8"/>
  <c r="M4" i="8" s="1"/>
  <c r="O4" i="8"/>
  <c r="P4" i="8" s="1"/>
  <c r="R4" i="8"/>
  <c r="S4" i="8" s="1"/>
  <c r="U4" i="8"/>
  <c r="V4" i="8" s="1"/>
  <c r="J4" i="6"/>
  <c r="W4" i="6"/>
  <c r="J5" i="6"/>
  <c r="W5" i="6"/>
  <c r="J6" i="6"/>
  <c r="W6" i="6"/>
  <c r="J7" i="6"/>
  <c r="W7" i="6"/>
  <c r="J8" i="6"/>
  <c r="W8" i="6"/>
  <c r="J9" i="6"/>
  <c r="W9" i="6"/>
  <c r="J10" i="6"/>
  <c r="W10" i="6"/>
  <c r="J11" i="6"/>
  <c r="W11" i="6"/>
  <c r="J12" i="6"/>
  <c r="W12" i="6"/>
  <c r="J13" i="6"/>
  <c r="W13" i="6"/>
  <c r="J14" i="6"/>
  <c r="W14" i="6"/>
  <c r="J15" i="6"/>
  <c r="W15" i="6"/>
  <c r="J16" i="6"/>
  <c r="W16" i="6"/>
  <c r="J17" i="6"/>
  <c r="W17" i="6"/>
  <c r="J18" i="6"/>
  <c r="W18" i="6"/>
  <c r="J19" i="6"/>
  <c r="W19" i="6"/>
  <c r="J20" i="6"/>
  <c r="W20" i="6"/>
  <c r="J21" i="6"/>
  <c r="W21" i="6"/>
  <c r="J22" i="6"/>
  <c r="W22" i="6"/>
  <c r="J23" i="6"/>
  <c r="W23" i="6"/>
  <c r="J24" i="6"/>
  <c r="W24" i="6"/>
  <c r="J25" i="6"/>
  <c r="W25" i="6"/>
  <c r="J26" i="6"/>
  <c r="W26" i="6"/>
  <c r="J27" i="6"/>
  <c r="W27" i="6"/>
  <c r="J28" i="6"/>
  <c r="W28" i="6"/>
  <c r="J29" i="6"/>
  <c r="W29" i="6"/>
  <c r="J30" i="6"/>
  <c r="W30" i="6"/>
  <c r="J31" i="6"/>
  <c r="W31" i="6"/>
  <c r="J32" i="6"/>
  <c r="W32" i="6"/>
  <c r="J33" i="6"/>
  <c r="W33" i="6"/>
  <c r="J34" i="6"/>
  <c r="W34" i="6"/>
  <c r="J35" i="6"/>
  <c r="W35" i="6"/>
  <c r="J36" i="6"/>
  <c r="W36" i="6"/>
  <c r="J37" i="6"/>
  <c r="W37" i="6"/>
  <c r="J38" i="6"/>
  <c r="W38" i="6"/>
  <c r="J39" i="6"/>
  <c r="W39" i="6"/>
  <c r="J40" i="6"/>
  <c r="W40" i="6"/>
  <c r="Y9" i="6"/>
  <c r="C9" i="6"/>
  <c r="D9" i="6" s="1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8" i="6"/>
  <c r="B7" i="6"/>
  <c r="B6" i="6"/>
  <c r="X35" i="6"/>
  <c r="X36" i="6"/>
  <c r="X37" i="6"/>
  <c r="X38" i="6"/>
  <c r="X39" i="6"/>
  <c r="X40" i="6"/>
  <c r="B33" i="5"/>
  <c r="C33" i="5"/>
  <c r="D33" i="5" s="1"/>
  <c r="B31" i="5"/>
  <c r="C31" i="5"/>
  <c r="D31" i="5" s="1"/>
  <c r="B30" i="5"/>
  <c r="C30" i="5"/>
  <c r="D30" i="5" s="1"/>
  <c r="B28" i="5"/>
  <c r="C28" i="5"/>
  <c r="D28" i="5" s="1"/>
  <c r="B27" i="5"/>
  <c r="C27" i="5"/>
  <c r="D27" i="5" s="1"/>
  <c r="B26" i="5"/>
  <c r="C26" i="5"/>
  <c r="D26" i="5" s="1"/>
  <c r="B25" i="5"/>
  <c r="C25" i="5"/>
  <c r="D25" i="5" s="1"/>
  <c r="B24" i="5"/>
  <c r="C24" i="5"/>
  <c r="D24" i="5" s="1"/>
  <c r="B23" i="5"/>
  <c r="C23" i="5"/>
  <c r="D23" i="5" s="1"/>
  <c r="B22" i="5"/>
  <c r="C22" i="5"/>
  <c r="D22" i="5" s="1"/>
  <c r="B20" i="5"/>
  <c r="C20" i="5"/>
  <c r="D20" i="5" s="1"/>
  <c r="B19" i="5"/>
  <c r="C19" i="5"/>
  <c r="D19" i="5" s="1"/>
  <c r="B18" i="5"/>
  <c r="C18" i="5"/>
  <c r="D18" i="5" s="1"/>
  <c r="B17" i="5"/>
  <c r="C17" i="5"/>
  <c r="D17" i="5" s="1"/>
  <c r="B16" i="5"/>
  <c r="C16" i="5"/>
  <c r="D16" i="5" s="1"/>
  <c r="B15" i="5"/>
  <c r="C15" i="5"/>
  <c r="D15" i="5" s="1"/>
  <c r="B14" i="5"/>
  <c r="C14" i="5"/>
  <c r="D14" i="5" s="1"/>
  <c r="B13" i="5"/>
  <c r="C13" i="5"/>
  <c r="D13" i="5" s="1"/>
  <c r="B12" i="5"/>
  <c r="C12" i="5"/>
  <c r="D12" i="5" s="1"/>
  <c r="B11" i="5"/>
  <c r="C11" i="5"/>
  <c r="D11" i="5" s="1"/>
  <c r="B9" i="5"/>
  <c r="C9" i="5"/>
  <c r="D9" i="5" s="1"/>
  <c r="B8" i="5"/>
  <c r="C8" i="5"/>
  <c r="D8" i="5" s="1"/>
  <c r="B7" i="5"/>
  <c r="C7" i="5"/>
  <c r="D7" i="5" s="1"/>
  <c r="B5" i="5"/>
  <c r="C5" i="5"/>
  <c r="D5" i="5" s="1"/>
  <c r="B4" i="5"/>
  <c r="C4" i="5"/>
  <c r="D4" i="5" s="1"/>
  <c r="J7" i="5"/>
  <c r="X7" i="5" s="1"/>
  <c r="W7" i="5"/>
  <c r="J8" i="5"/>
  <c r="X8" i="5" s="1"/>
  <c r="W8" i="5"/>
  <c r="J9" i="5"/>
  <c r="X9" i="5" s="1"/>
  <c r="W9" i="5"/>
  <c r="J10" i="5"/>
  <c r="X10" i="5" s="1"/>
  <c r="W10" i="5"/>
  <c r="J11" i="5"/>
  <c r="X11" i="5" s="1"/>
  <c r="W11" i="5"/>
  <c r="J12" i="5"/>
  <c r="X12" i="5" s="1"/>
  <c r="W12" i="5"/>
  <c r="J13" i="5"/>
  <c r="X13" i="5" s="1"/>
  <c r="W13" i="5"/>
  <c r="J14" i="5"/>
  <c r="X14" i="5" s="1"/>
  <c r="W14" i="5"/>
  <c r="J15" i="5"/>
  <c r="X15" i="5" s="1"/>
  <c r="W15" i="5"/>
  <c r="J16" i="5"/>
  <c r="X16" i="5" s="1"/>
  <c r="W16" i="5"/>
  <c r="J17" i="5"/>
  <c r="X17" i="5" s="1"/>
  <c r="W17" i="5"/>
  <c r="J18" i="5"/>
  <c r="X18" i="5" s="1"/>
  <c r="W18" i="5"/>
  <c r="J19" i="5"/>
  <c r="X19" i="5" s="1"/>
  <c r="W19" i="5"/>
  <c r="J20" i="5"/>
  <c r="X20" i="5" s="1"/>
  <c r="W20" i="5"/>
  <c r="J21" i="5"/>
  <c r="X21" i="5" s="1"/>
  <c r="W21" i="5"/>
  <c r="J22" i="5"/>
  <c r="X22" i="5" s="1"/>
  <c r="W22" i="5"/>
  <c r="J23" i="5"/>
  <c r="X23" i="5" s="1"/>
  <c r="W23" i="5"/>
  <c r="J24" i="5"/>
  <c r="X24" i="5" s="1"/>
  <c r="W24" i="5"/>
  <c r="J25" i="5"/>
  <c r="X25" i="5" s="1"/>
  <c r="W25" i="5"/>
  <c r="J26" i="5"/>
  <c r="X26" i="5" s="1"/>
  <c r="W26" i="5"/>
  <c r="J27" i="5"/>
  <c r="X27" i="5" s="1"/>
  <c r="W27" i="5"/>
  <c r="J28" i="5"/>
  <c r="X28" i="5" s="1"/>
  <c r="W28" i="5"/>
  <c r="J29" i="5"/>
  <c r="X29" i="5" s="1"/>
  <c r="W29" i="5"/>
  <c r="J30" i="5"/>
  <c r="X30" i="5" s="1"/>
  <c r="W30" i="5"/>
  <c r="J31" i="5"/>
  <c r="X31" i="5" s="1"/>
  <c r="W31" i="5"/>
  <c r="J32" i="5"/>
  <c r="X32" i="5" s="1"/>
  <c r="W32" i="5"/>
  <c r="J33" i="5"/>
  <c r="X33" i="5" s="1"/>
  <c r="W33" i="5"/>
  <c r="J34" i="5"/>
  <c r="X34" i="5" s="1"/>
  <c r="W34" i="5"/>
  <c r="J35" i="5"/>
  <c r="X35" i="5" s="1"/>
  <c r="W35" i="5"/>
  <c r="J36" i="5"/>
  <c r="W36" i="5"/>
  <c r="J37" i="5"/>
  <c r="W37" i="5"/>
  <c r="J38" i="5"/>
  <c r="W38" i="5"/>
  <c r="J39" i="5"/>
  <c r="W39" i="5"/>
  <c r="J40" i="5"/>
  <c r="W40" i="5"/>
  <c r="J41" i="5"/>
  <c r="W41" i="5"/>
  <c r="X36" i="5"/>
  <c r="X37" i="5"/>
  <c r="X38" i="5"/>
  <c r="X39" i="5"/>
  <c r="X40" i="5"/>
  <c r="X41" i="5"/>
  <c r="F18" i="12"/>
  <c r="G18" i="12"/>
  <c r="H18" i="12"/>
  <c r="I18" i="12"/>
  <c r="J18" i="12"/>
  <c r="F18" i="13"/>
  <c r="G18" i="13"/>
  <c r="H18" i="13"/>
  <c r="I18" i="13"/>
  <c r="J18" i="13"/>
  <c r="F17" i="10"/>
  <c r="G17" i="10"/>
  <c r="H17" i="10"/>
  <c r="I17" i="10"/>
  <c r="J17" i="10"/>
  <c r="G18" i="10"/>
  <c r="H18" i="10"/>
  <c r="I18" i="10"/>
  <c r="J18" i="10"/>
  <c r="F18" i="10"/>
  <c r="F22" i="10"/>
  <c r="G22" i="10"/>
  <c r="H22" i="10"/>
  <c r="I22" i="10"/>
  <c r="J22" i="10"/>
  <c r="F26" i="10"/>
  <c r="G26" i="10"/>
  <c r="H26" i="10"/>
  <c r="I26" i="10"/>
  <c r="J26" i="10"/>
  <c r="F36" i="10"/>
  <c r="G36" i="10"/>
  <c r="H36" i="10"/>
  <c r="I36" i="10"/>
  <c r="J36" i="10"/>
  <c r="F44" i="10"/>
  <c r="G44" i="10"/>
  <c r="H44" i="10"/>
  <c r="I44" i="10"/>
  <c r="J44" i="10"/>
  <c r="F47" i="10"/>
  <c r="G47" i="10"/>
  <c r="H47" i="10"/>
  <c r="I47" i="10"/>
  <c r="J47" i="10"/>
  <c r="F24" i="22"/>
  <c r="G24" i="22"/>
  <c r="H24" i="22"/>
  <c r="I24" i="22"/>
  <c r="J24" i="22"/>
  <c r="Y30" i="7"/>
  <c r="Y29" i="7"/>
  <c r="Y27" i="7"/>
  <c r="Y26" i="7"/>
  <c r="Y25" i="7"/>
  <c r="Y24" i="7"/>
  <c r="Y23" i="7"/>
  <c r="Y22" i="7"/>
  <c r="Y21" i="7"/>
  <c r="Y20" i="7"/>
  <c r="Y19" i="7"/>
  <c r="Y18" i="7"/>
  <c r="Y17" i="7"/>
  <c r="Y16" i="7"/>
  <c r="Y15" i="7"/>
  <c r="Y14" i="7"/>
  <c r="Y13" i="7"/>
  <c r="Y12" i="7"/>
  <c r="Y9" i="7"/>
  <c r="Y8" i="7"/>
  <c r="Y7" i="7"/>
  <c r="Y6" i="7"/>
  <c r="Y5" i="7"/>
  <c r="Y4" i="7"/>
  <c r="Y32" i="8"/>
  <c r="Y31" i="8"/>
  <c r="Y30" i="8"/>
  <c r="Y29" i="8"/>
  <c r="Y28" i="8"/>
  <c r="Y27" i="8"/>
  <c r="Y26" i="8"/>
  <c r="Y25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0" i="8"/>
  <c r="Y9" i="8"/>
  <c r="Y8" i="8"/>
  <c r="Y7" i="8"/>
  <c r="Y6" i="8"/>
  <c r="Y5" i="8"/>
  <c r="Y4" i="8"/>
  <c r="Y3" i="8"/>
  <c r="Y10" i="7"/>
  <c r="Y28" i="7"/>
  <c r="Y11" i="8"/>
  <c r="B35" i="8"/>
  <c r="C35" i="8"/>
  <c r="D35" i="8" s="1"/>
  <c r="B34" i="8"/>
  <c r="C34" i="8"/>
  <c r="D34" i="8" s="1"/>
  <c r="B34" i="6"/>
  <c r="Y34" i="6" s="1"/>
  <c r="C34" i="6"/>
  <c r="D34" i="6" s="1"/>
  <c r="B33" i="6"/>
  <c r="Y33" i="6" s="1"/>
  <c r="C33" i="6"/>
  <c r="D33" i="6" s="1"/>
  <c r="B28" i="9"/>
  <c r="C28" i="9"/>
  <c r="D28" i="9" s="1"/>
  <c r="B27" i="9"/>
  <c r="C27" i="9"/>
  <c r="D27" i="9" s="1"/>
  <c r="C3" i="9"/>
  <c r="D3" i="9" s="1"/>
  <c r="AA14" i="9"/>
  <c r="L14" i="21" s="1"/>
  <c r="C20" i="9"/>
  <c r="D20" i="9" s="1"/>
  <c r="Y20" i="9"/>
  <c r="C19" i="9"/>
  <c r="D19" i="9" s="1"/>
  <c r="Y19" i="9"/>
  <c r="C18" i="9"/>
  <c r="D18" i="9" s="1"/>
  <c r="Y18" i="9"/>
  <c r="C17" i="9"/>
  <c r="D17" i="9" s="1"/>
  <c r="Y17" i="9"/>
  <c r="C16" i="9"/>
  <c r="D16" i="9" s="1"/>
  <c r="Y16" i="9"/>
  <c r="C15" i="9"/>
  <c r="D15" i="9" s="1"/>
  <c r="Y15" i="9"/>
  <c r="C14" i="9"/>
  <c r="D14" i="9" s="1"/>
  <c r="Y14" i="9"/>
  <c r="J43" i="9" s="1"/>
  <c r="M14" i="21" s="1"/>
  <c r="Y3" i="7"/>
  <c r="B11" i="7"/>
  <c r="C11" i="7" s="1"/>
  <c r="D11" i="7" s="1"/>
  <c r="C3" i="6"/>
  <c r="D3" i="6" s="1"/>
  <c r="AA14" i="6"/>
  <c r="L11" i="21" s="1"/>
  <c r="Y3" i="6"/>
  <c r="C31" i="6"/>
  <c r="D31" i="6" s="1"/>
  <c r="Y31" i="6"/>
  <c r="C30" i="6"/>
  <c r="D30" i="6" s="1"/>
  <c r="Y30" i="6"/>
  <c r="C29" i="6"/>
  <c r="D29" i="6" s="1"/>
  <c r="Y29" i="6"/>
  <c r="C28" i="6"/>
  <c r="D28" i="6" s="1"/>
  <c r="Y28" i="6"/>
  <c r="C27" i="6"/>
  <c r="D27" i="6" s="1"/>
  <c r="Y27" i="6"/>
  <c r="C26" i="6"/>
  <c r="D26" i="6" s="1"/>
  <c r="Y26" i="6"/>
  <c r="C25" i="6"/>
  <c r="D25" i="6" s="1"/>
  <c r="Y25" i="6"/>
  <c r="C24" i="6"/>
  <c r="D24" i="6" s="1"/>
  <c r="Y24" i="6"/>
  <c r="C23" i="6"/>
  <c r="D23" i="6" s="1"/>
  <c r="Y23" i="6"/>
  <c r="C22" i="6"/>
  <c r="D22" i="6" s="1"/>
  <c r="Y22" i="6"/>
  <c r="C21" i="6"/>
  <c r="D21" i="6" s="1"/>
  <c r="Y21" i="6"/>
  <c r="C20" i="6"/>
  <c r="D20" i="6" s="1"/>
  <c r="Y20" i="6"/>
  <c r="C19" i="6"/>
  <c r="D19" i="6" s="1"/>
  <c r="Y19" i="6"/>
  <c r="C18" i="6"/>
  <c r="D18" i="6" s="1"/>
  <c r="Y18" i="6"/>
  <c r="C17" i="6"/>
  <c r="D17" i="6" s="1"/>
  <c r="Y17" i="6"/>
  <c r="C16" i="6"/>
  <c r="D16" i="6" s="1"/>
  <c r="Y16" i="6"/>
  <c r="C15" i="6"/>
  <c r="D15" i="6" s="1"/>
  <c r="Y15" i="6"/>
  <c r="C14" i="6"/>
  <c r="D14" i="6" s="1"/>
  <c r="Y14" i="6"/>
  <c r="C13" i="6"/>
  <c r="D13" i="6" s="1"/>
  <c r="Y13" i="6"/>
  <c r="C12" i="6"/>
  <c r="D12" i="6" s="1"/>
  <c r="Y12" i="6"/>
  <c r="C11" i="6"/>
  <c r="D11" i="6" s="1"/>
  <c r="Y11" i="6"/>
  <c r="C10" i="6"/>
  <c r="D10" i="6" s="1"/>
  <c r="Y10" i="6"/>
  <c r="C8" i="6"/>
  <c r="D8" i="6" s="1"/>
  <c r="Y8" i="6"/>
  <c r="C7" i="6"/>
  <c r="D7" i="6" s="1"/>
  <c r="Y7" i="6"/>
  <c r="C6" i="6"/>
  <c r="D6" i="6" s="1"/>
  <c r="Y6" i="6"/>
  <c r="C5" i="6"/>
  <c r="D5" i="6" s="1"/>
  <c r="Y5" i="6"/>
  <c r="C4" i="6"/>
  <c r="D4" i="6" s="1"/>
  <c r="Y4" i="6"/>
  <c r="X28" i="7"/>
  <c r="X9" i="6"/>
  <c r="X32" i="6"/>
  <c r="X10" i="7"/>
  <c r="M3" i="9"/>
  <c r="S3" i="9"/>
  <c r="X33" i="8"/>
  <c r="X11" i="8"/>
  <c r="U3" i="8"/>
  <c r="V3" i="8" s="1"/>
  <c r="R3" i="8"/>
  <c r="S3" i="8" s="1"/>
  <c r="O3" i="8"/>
  <c r="P3" i="8" s="1"/>
  <c r="L3" i="8"/>
  <c r="M3" i="8" s="1"/>
  <c r="I3" i="8"/>
  <c r="J3" i="8" s="1"/>
  <c r="U3" i="6"/>
  <c r="R3" i="6"/>
  <c r="S3" i="6" s="1"/>
  <c r="O3" i="6"/>
  <c r="L3" i="6"/>
  <c r="M3" i="6" s="1"/>
  <c r="I3" i="6"/>
  <c r="U3" i="7"/>
  <c r="R3" i="7"/>
  <c r="S3" i="7" s="1"/>
  <c r="O3" i="7"/>
  <c r="L3" i="7"/>
  <c r="M3" i="7" s="1"/>
  <c r="I3" i="7"/>
  <c r="W28" i="9"/>
  <c r="W27" i="9"/>
  <c r="W24" i="9"/>
  <c r="W23" i="9"/>
  <c r="W22" i="9"/>
  <c r="W21" i="9"/>
  <c r="X21" i="9"/>
  <c r="W20" i="9"/>
  <c r="W19" i="9"/>
  <c r="X19" i="9"/>
  <c r="W18" i="9"/>
  <c r="W17" i="9"/>
  <c r="W16" i="9"/>
  <c r="W15" i="9"/>
  <c r="W14" i="9"/>
  <c r="W13" i="9"/>
  <c r="W12" i="9"/>
  <c r="W11" i="9"/>
  <c r="X10" i="9"/>
  <c r="W10" i="9"/>
  <c r="W9" i="9"/>
  <c r="W8" i="9"/>
  <c r="W7" i="9"/>
  <c r="W6" i="9"/>
  <c r="W5" i="9"/>
  <c r="W4" i="9"/>
  <c r="W3" i="9"/>
  <c r="L41" i="9"/>
  <c r="O41" i="9"/>
  <c r="R41" i="9"/>
  <c r="U41" i="9"/>
  <c r="F18" i="14" l="1"/>
  <c r="G18" i="14"/>
  <c r="H18" i="14"/>
  <c r="I18" i="14"/>
  <c r="J18" i="14"/>
  <c r="J4" i="7"/>
  <c r="W4" i="7"/>
  <c r="J5" i="7"/>
  <c r="W5" i="7"/>
  <c r="J6" i="7"/>
  <c r="W6" i="7"/>
  <c r="J7" i="7"/>
  <c r="W7" i="7"/>
  <c r="J8" i="7"/>
  <c r="W8" i="7"/>
  <c r="J9" i="7"/>
  <c r="W9" i="7"/>
  <c r="J11" i="7"/>
  <c r="W11" i="7"/>
  <c r="J12" i="7"/>
  <c r="W12" i="7"/>
  <c r="J13" i="7"/>
  <c r="W13" i="7"/>
  <c r="J14" i="7"/>
  <c r="W14" i="7"/>
  <c r="J15" i="7"/>
  <c r="W15" i="7"/>
  <c r="J16" i="7"/>
  <c r="W16" i="7"/>
  <c r="J17" i="7"/>
  <c r="W17" i="7"/>
  <c r="J18" i="7"/>
  <c r="W18" i="7"/>
  <c r="J19" i="7"/>
  <c r="W19" i="7"/>
  <c r="J20" i="7"/>
  <c r="W20" i="7"/>
  <c r="J21" i="7"/>
  <c r="W21" i="7"/>
  <c r="J22" i="7"/>
  <c r="W22" i="7"/>
  <c r="J23" i="7"/>
  <c r="W23" i="7"/>
  <c r="J24" i="7"/>
  <c r="W24" i="7"/>
  <c r="J25" i="7"/>
  <c r="W25" i="7"/>
  <c r="J26" i="7"/>
  <c r="W26" i="7"/>
  <c r="J27" i="7"/>
  <c r="W27" i="7"/>
  <c r="J29" i="7"/>
  <c r="W29" i="7"/>
  <c r="J30" i="7"/>
  <c r="W30" i="7"/>
  <c r="F19" i="10"/>
  <c r="G19" i="10"/>
  <c r="H19" i="10"/>
  <c r="I19" i="10"/>
  <c r="J19" i="10"/>
  <c r="F20" i="10"/>
  <c r="G20" i="10"/>
  <c r="H20" i="10"/>
  <c r="I20" i="10"/>
  <c r="J20" i="10"/>
  <c r="F21" i="10"/>
  <c r="G21" i="10"/>
  <c r="H21" i="10"/>
  <c r="I21" i="10"/>
  <c r="J21" i="10"/>
  <c r="F23" i="10"/>
  <c r="G23" i="10"/>
  <c r="H23" i="10"/>
  <c r="I23" i="10"/>
  <c r="J23" i="10"/>
  <c r="F24" i="10"/>
  <c r="G24" i="10"/>
  <c r="H24" i="10"/>
  <c r="I24" i="10"/>
  <c r="J24" i="10"/>
  <c r="F25" i="10"/>
  <c r="G25" i="10"/>
  <c r="H25" i="10"/>
  <c r="I25" i="10"/>
  <c r="J25" i="10"/>
  <c r="F27" i="10"/>
  <c r="G27" i="10"/>
  <c r="H27" i="10"/>
  <c r="I27" i="10"/>
  <c r="J27" i="10"/>
  <c r="F28" i="10"/>
  <c r="G28" i="10"/>
  <c r="H28" i="10"/>
  <c r="I28" i="10"/>
  <c r="J28" i="10"/>
  <c r="F29" i="10"/>
  <c r="G29" i="10"/>
  <c r="H29" i="10"/>
  <c r="I29" i="10"/>
  <c r="J29" i="10"/>
  <c r="F30" i="10"/>
  <c r="G30" i="10"/>
  <c r="H30" i="10"/>
  <c r="I30" i="10"/>
  <c r="J30" i="10"/>
  <c r="F31" i="10"/>
  <c r="G31" i="10"/>
  <c r="H31" i="10"/>
  <c r="I31" i="10"/>
  <c r="J31" i="10"/>
  <c r="F32" i="10"/>
  <c r="G32" i="10"/>
  <c r="H32" i="10"/>
  <c r="I32" i="10"/>
  <c r="J32" i="10"/>
  <c r="F33" i="10"/>
  <c r="G33" i="10"/>
  <c r="H33" i="10"/>
  <c r="I33" i="10"/>
  <c r="J33" i="10"/>
  <c r="F34" i="10"/>
  <c r="G34" i="10"/>
  <c r="H34" i="10"/>
  <c r="I34" i="10"/>
  <c r="J34" i="10"/>
  <c r="F35" i="10"/>
  <c r="G35" i="10"/>
  <c r="H35" i="10"/>
  <c r="I35" i="10"/>
  <c r="J35" i="10"/>
  <c r="F37" i="10"/>
  <c r="G37" i="10"/>
  <c r="H37" i="10"/>
  <c r="I37" i="10"/>
  <c r="J37" i="10"/>
  <c r="F38" i="10"/>
  <c r="G38" i="10"/>
  <c r="H38" i="10"/>
  <c r="I38" i="10"/>
  <c r="J38" i="10"/>
  <c r="F39" i="10"/>
  <c r="G39" i="10"/>
  <c r="H39" i="10"/>
  <c r="I39" i="10"/>
  <c r="J39" i="10"/>
  <c r="F40" i="10"/>
  <c r="G40" i="10"/>
  <c r="H40" i="10"/>
  <c r="I40" i="10"/>
  <c r="J40" i="10"/>
  <c r="F41" i="10"/>
  <c r="G41" i="10"/>
  <c r="H41" i="10"/>
  <c r="I41" i="10"/>
  <c r="J41" i="10"/>
  <c r="F42" i="10"/>
  <c r="G42" i="10"/>
  <c r="H42" i="10"/>
  <c r="I42" i="10"/>
  <c r="J42" i="10"/>
  <c r="F43" i="10"/>
  <c r="G43" i="10"/>
  <c r="H43" i="10"/>
  <c r="I43" i="10"/>
  <c r="J43" i="10"/>
  <c r="F45" i="10"/>
  <c r="G45" i="10"/>
  <c r="H45" i="10"/>
  <c r="I45" i="10"/>
  <c r="J45" i="10"/>
  <c r="F46" i="10"/>
  <c r="G46" i="10"/>
  <c r="H46" i="10"/>
  <c r="I46" i="10"/>
  <c r="J46" i="10"/>
  <c r="F48" i="10"/>
  <c r="G48" i="10"/>
  <c r="H48" i="10"/>
  <c r="I48" i="10"/>
  <c r="J48" i="10"/>
  <c r="F19" i="22"/>
  <c r="G19" i="22"/>
  <c r="H19" i="22"/>
  <c r="I19" i="22"/>
  <c r="J19" i="22"/>
  <c r="F20" i="22"/>
  <c r="G20" i="22"/>
  <c r="H20" i="22"/>
  <c r="I20" i="22"/>
  <c r="J20" i="22"/>
  <c r="F21" i="22"/>
  <c r="G21" i="22"/>
  <c r="H21" i="22"/>
  <c r="I21" i="22"/>
  <c r="J21" i="22"/>
  <c r="F22" i="22"/>
  <c r="G22" i="22"/>
  <c r="H22" i="22"/>
  <c r="I22" i="22"/>
  <c r="J22" i="22"/>
  <c r="F23" i="22"/>
  <c r="G23" i="22"/>
  <c r="H23" i="22"/>
  <c r="I23" i="22"/>
  <c r="J23" i="22"/>
  <c r="F25" i="22"/>
  <c r="G25" i="22"/>
  <c r="H25" i="22"/>
  <c r="I25" i="22"/>
  <c r="J25" i="22"/>
  <c r="F26" i="22"/>
  <c r="G26" i="22"/>
  <c r="H26" i="22"/>
  <c r="I26" i="22"/>
  <c r="J26" i="22"/>
  <c r="F27" i="22"/>
  <c r="G27" i="22"/>
  <c r="H27" i="22"/>
  <c r="I27" i="22"/>
  <c r="J27" i="22"/>
  <c r="F28" i="22"/>
  <c r="G28" i="22"/>
  <c r="H28" i="22"/>
  <c r="I28" i="22"/>
  <c r="J28" i="22"/>
  <c r="F29" i="22"/>
  <c r="G29" i="22"/>
  <c r="H29" i="22"/>
  <c r="I29" i="22"/>
  <c r="J29" i="22"/>
  <c r="F30" i="22"/>
  <c r="G30" i="22"/>
  <c r="H30" i="22"/>
  <c r="I30" i="22"/>
  <c r="J30" i="22"/>
  <c r="F31" i="22"/>
  <c r="G31" i="22"/>
  <c r="H31" i="22"/>
  <c r="I31" i="22"/>
  <c r="J31" i="22"/>
  <c r="F32" i="22"/>
  <c r="G32" i="22"/>
  <c r="H32" i="22"/>
  <c r="I32" i="22"/>
  <c r="J32" i="22"/>
  <c r="F33" i="22"/>
  <c r="G33" i="22"/>
  <c r="H33" i="22"/>
  <c r="I33" i="22"/>
  <c r="J33" i="22"/>
  <c r="F34" i="22"/>
  <c r="G34" i="22"/>
  <c r="H34" i="22"/>
  <c r="I34" i="22"/>
  <c r="J34" i="22"/>
  <c r="F35" i="22"/>
  <c r="G35" i="22"/>
  <c r="H35" i="22"/>
  <c r="I35" i="22"/>
  <c r="J35" i="22"/>
  <c r="F36" i="22"/>
  <c r="G36" i="22"/>
  <c r="H36" i="22"/>
  <c r="I36" i="22"/>
  <c r="J36" i="22"/>
  <c r="F37" i="22"/>
  <c r="G37" i="22"/>
  <c r="H37" i="22"/>
  <c r="I37" i="22"/>
  <c r="J37" i="22"/>
  <c r="F38" i="22"/>
  <c r="G38" i="22"/>
  <c r="H38" i="22"/>
  <c r="I38" i="22"/>
  <c r="J38" i="22"/>
  <c r="F39" i="22"/>
  <c r="G39" i="22"/>
  <c r="H39" i="22"/>
  <c r="I39" i="22"/>
  <c r="J39" i="22"/>
  <c r="F40" i="22"/>
  <c r="G40" i="22"/>
  <c r="H40" i="22"/>
  <c r="I40" i="22"/>
  <c r="J40" i="22"/>
  <c r="F41" i="22"/>
  <c r="G41" i="22"/>
  <c r="H41" i="22"/>
  <c r="I41" i="22"/>
  <c r="J41" i="22"/>
  <c r="F18" i="22"/>
  <c r="G18" i="22"/>
  <c r="H18" i="22"/>
  <c r="I18" i="22"/>
  <c r="J18" i="22"/>
  <c r="Y34" i="8"/>
  <c r="Y35" i="8"/>
  <c r="Y11" i="7"/>
  <c r="AA14" i="7"/>
  <c r="L12" i="21" s="1"/>
  <c r="I22" i="21" s="1"/>
  <c r="J43" i="7"/>
  <c r="M12" i="21" s="1"/>
  <c r="J43" i="6"/>
  <c r="M11" i="21" s="1"/>
  <c r="X26" i="9"/>
  <c r="W3" i="8"/>
  <c r="I41" i="9"/>
  <c r="J42" i="9" s="1"/>
  <c r="J14" i="21" s="1"/>
  <c r="K14" i="21" s="1"/>
  <c r="X3" i="9"/>
  <c r="X4" i="9"/>
  <c r="X5" i="9"/>
  <c r="X6" i="9"/>
  <c r="X7" i="9"/>
  <c r="X8" i="9"/>
  <c r="X9" i="9"/>
  <c r="X11" i="9"/>
  <c r="X12" i="9"/>
  <c r="X13" i="9"/>
  <c r="X14" i="9"/>
  <c r="X15" i="9"/>
  <c r="X16" i="9"/>
  <c r="X17" i="9"/>
  <c r="X18" i="9"/>
  <c r="X20" i="9"/>
  <c r="X22" i="9"/>
  <c r="X23" i="9"/>
  <c r="X24" i="9"/>
  <c r="X25" i="9"/>
  <c r="X27" i="9"/>
  <c r="X28" i="9"/>
  <c r="W35" i="8"/>
  <c r="W34" i="8"/>
  <c r="W32" i="8"/>
  <c r="W31" i="8"/>
  <c r="W30" i="8"/>
  <c r="W29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0" i="8"/>
  <c r="W9" i="8"/>
  <c r="W8" i="8"/>
  <c r="W7" i="8"/>
  <c r="W6" i="8"/>
  <c r="W5" i="8"/>
  <c r="W4" i="8"/>
  <c r="L42" i="8"/>
  <c r="O42" i="8"/>
  <c r="R42" i="8"/>
  <c r="U42" i="8"/>
  <c r="L41" i="7"/>
  <c r="W3" i="7"/>
  <c r="J3" i="7"/>
  <c r="P3" i="7"/>
  <c r="R41" i="7"/>
  <c r="V3" i="7"/>
  <c r="X10" i="6"/>
  <c r="W3" i="6"/>
  <c r="J3" i="6"/>
  <c r="P3" i="6"/>
  <c r="V3" i="6"/>
  <c r="J44" i="8" l="1"/>
  <c r="R41" i="6"/>
  <c r="L41" i="6"/>
  <c r="O41" i="6"/>
  <c r="U41" i="6"/>
  <c r="U41" i="7"/>
  <c r="O41" i="7"/>
  <c r="I41" i="6"/>
  <c r="J42" i="6" s="1"/>
  <c r="J11" i="21" s="1"/>
  <c r="K11" i="21" s="1"/>
  <c r="X3" i="6"/>
  <c r="X4" i="6"/>
  <c r="X5" i="6"/>
  <c r="X6" i="6"/>
  <c r="X7" i="6"/>
  <c r="X8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3" i="6"/>
  <c r="X34" i="6"/>
  <c r="I41" i="7"/>
  <c r="J42" i="7" s="1"/>
  <c r="J12" i="21" s="1"/>
  <c r="K12" i="21" s="1"/>
  <c r="X3" i="7"/>
  <c r="X4" i="7"/>
  <c r="X5" i="7"/>
  <c r="X6" i="7"/>
  <c r="X7" i="7"/>
  <c r="X8" i="7"/>
  <c r="X9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9" i="7"/>
  <c r="X30" i="7"/>
  <c r="I42" i="8"/>
  <c r="J43" i="8" s="1"/>
  <c r="M13" i="21" s="1"/>
  <c r="X3" i="8"/>
  <c r="X4" i="8"/>
  <c r="X5" i="8"/>
  <c r="X6" i="8"/>
  <c r="X7" i="8"/>
  <c r="X8" i="8"/>
  <c r="X9" i="8"/>
  <c r="X10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4" i="8"/>
  <c r="X35" i="8"/>
  <c r="AA12" i="9"/>
  <c r="AA12" i="8" l="1"/>
  <c r="AA12" i="7"/>
  <c r="AA12" i="6"/>
  <c r="I5" i="5"/>
  <c r="I6" i="5"/>
  <c r="AA11" i="5"/>
  <c r="I28" i="21" s="1"/>
  <c r="R4" i="5"/>
  <c r="U3" i="5" l="1"/>
  <c r="O3" i="5"/>
  <c r="R3" i="5"/>
  <c r="L3" i="5"/>
  <c r="S4" i="5"/>
  <c r="U4" i="5"/>
  <c r="O4" i="5"/>
  <c r="I4" i="5"/>
  <c r="L4" i="5"/>
  <c r="J6" i="5"/>
  <c r="U6" i="5"/>
  <c r="R6" i="5"/>
  <c r="O6" i="5"/>
  <c r="L6" i="5"/>
  <c r="J5" i="5"/>
  <c r="U5" i="5"/>
  <c r="R5" i="5"/>
  <c r="O5" i="5"/>
  <c r="L5" i="5"/>
  <c r="M5" i="5" l="1"/>
  <c r="W5" i="5"/>
  <c r="P5" i="5"/>
  <c r="S5" i="5"/>
  <c r="V5" i="5"/>
  <c r="X5" i="5"/>
  <c r="M6" i="5"/>
  <c r="W6" i="5"/>
  <c r="P6" i="5"/>
  <c r="S6" i="5"/>
  <c r="V6" i="5"/>
  <c r="X6" i="5"/>
  <c r="Y26" i="5"/>
  <c r="Y28" i="5"/>
  <c r="M4" i="5"/>
  <c r="J4" i="5"/>
  <c r="W4" i="5"/>
  <c r="P4" i="5"/>
  <c r="V4" i="5"/>
  <c r="M3" i="5"/>
  <c r="L42" i="5" s="1"/>
  <c r="S3" i="5"/>
  <c r="R42" i="5" s="1"/>
  <c r="J3" i="5"/>
  <c r="I42" i="5" s="1"/>
  <c r="W3" i="5"/>
  <c r="P3" i="5"/>
  <c r="V3" i="5"/>
  <c r="U42" i="5" s="1"/>
  <c r="O42" i="5" l="1"/>
  <c r="X3" i="5"/>
  <c r="J43" i="5"/>
  <c r="X4" i="5"/>
  <c r="J44" i="5"/>
  <c r="M10" i="21" l="1"/>
  <c r="J22" i="21" s="1"/>
  <c r="K22" i="21" s="1"/>
  <c r="J28" i="21"/>
  <c r="K28" i="21" s="1"/>
  <c r="J10" i="21"/>
  <c r="AA12" i="5"/>
  <c r="J19" i="21" l="1"/>
  <c r="K19" i="21" s="1"/>
  <c r="K10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<sst xmlns="http://schemas.openxmlformats.org/spreadsheetml/2006/main" count="3058" uniqueCount="769">
  <si>
    <t>SCENA</t>
  </si>
  <si>
    <t>SquadraCorrente</t>
  </si>
  <si>
    <t>TITOLO SCENA</t>
  </si>
  <si>
    <t>TimeStamp</t>
  </si>
  <si>
    <t>A</t>
  </si>
  <si>
    <t>Una Scuola Stupefacente</t>
  </si>
  <si>
    <t>Squadra Attiva</t>
  </si>
  <si>
    <t>Scena Attiva</t>
  </si>
  <si>
    <t>Titolo Scena Attivo</t>
  </si>
  <si>
    <t>GaraCodice</t>
  </si>
  <si>
    <t>GPSER-2026</t>
  </si>
  <si>
    <t>Chiave</t>
  </si>
  <si>
    <t>Valore</t>
  </si>
  <si>
    <t>StampaVuota</t>
  </si>
  <si>
    <t>SI</t>
  </si>
  <si>
    <t>ScenaCodice</t>
  </si>
  <si>
    <t>SlotScheda</t>
  </si>
  <si>
    <t>TipoScheda</t>
  </si>
  <si>
    <t>TotItem</t>
  </si>
  <si>
    <t>MaxSchede</t>
  </si>
  <si>
    <t>MaxSep</t>
  </si>
  <si>
    <t>MaxTotScena</t>
  </si>
  <si>
    <t>MaxToSep</t>
  </si>
  <si>
    <t>NumeroSchede</t>
  </si>
  <si>
    <t>Master</t>
  </si>
  <si>
    <t>PBLS</t>
  </si>
  <si>
    <t>Overdose</t>
  </si>
  <si>
    <t>TC</t>
  </si>
  <si>
    <t>Asma</t>
  </si>
  <si>
    <t>TipoValutazione</t>
  </si>
  <si>
    <t>MB</t>
  </si>
  <si>
    <t>BE</t>
  </si>
  <si>
    <t>SU</t>
  </si>
  <si>
    <t>IN</t>
  </si>
  <si>
    <t>NE</t>
  </si>
  <si>
    <t>Standard</t>
  </si>
  <si>
    <t>3 Voci</t>
  </si>
  <si>
    <t>PesoDoppio</t>
  </si>
  <si>
    <t>Binario Punitivo</t>
  </si>
  <si>
    <t>Ordine</t>
  </si>
  <si>
    <t>ItemKey</t>
  </si>
  <si>
    <t>Sezione</t>
  </si>
  <si>
    <t>TestoItem</t>
  </si>
  <si>
    <t>PesoMax</t>
  </si>
  <si>
    <t>IsSEP</t>
  </si>
  <si>
    <t>Has_MB</t>
  </si>
  <si>
    <t>Has_B</t>
  </si>
  <si>
    <t>Has_S</t>
  </si>
  <si>
    <t>Has_I</t>
  </si>
  <si>
    <t>Has_NE</t>
  </si>
  <si>
    <t>IsBLS</t>
  </si>
  <si>
    <t>HDR_Master_AUTOPROTEZIONE_e_SICUREZZA</t>
  </si>
  <si>
    <t>AUTOPROTEZIONE e SICUREZZA</t>
  </si>
  <si>
    <t>HDR</t>
  </si>
  <si>
    <t>A_MAS0001</t>
  </si>
  <si>
    <t>si guarda attorno (prima di entrare in scena)</t>
  </si>
  <si>
    <t>A_MAS0002</t>
  </si>
  <si>
    <t>indossa i d.p.i. in scena</t>
  </si>
  <si>
    <t>A_MAS0003</t>
  </si>
  <si>
    <t>percorre tutta la scena e la rende sicura</t>
  </si>
  <si>
    <t>HDR_Master_COMPORTAMENTO_CON_I_PRESENTI</t>
  </si>
  <si>
    <t>COMPORTAMENTO CON I PRESENTI</t>
  </si>
  <si>
    <t>A_MAS0004</t>
  </si>
  <si>
    <t>si presenta come soccorritore</t>
  </si>
  <si>
    <t>A_MAS0005</t>
  </si>
  <si>
    <t>indirizza con oculatezza i soccorritori</t>
  </si>
  <si>
    <t>A_MAS0006</t>
  </si>
  <si>
    <t>atteggiamento cortese e determinato</t>
  </si>
  <si>
    <t>HDR_Master_CHIAMATA_DI_SOCCORSO</t>
  </si>
  <si>
    <t>CHIAMATA DI SOCCORSO</t>
  </si>
  <si>
    <t>A_MAS0007</t>
  </si>
  <si>
    <t>fa la prima chiamata entro 2 minuti</t>
  </si>
  <si>
    <t>A_MAS0008</t>
  </si>
  <si>
    <t>si identifica /presenta</t>
  </si>
  <si>
    <t>A_MAS0009</t>
  </si>
  <si>
    <t>spiega da dove chiama e indica come raggiungere il luogo</t>
  </si>
  <si>
    <t>A_MAS0010</t>
  </si>
  <si>
    <t>descrive  l’evento</t>
  </si>
  <si>
    <t>A_MAS0011</t>
  </si>
  <si>
    <t>1 - Bambino PBLS -ACC Cardiopatcio</t>
  </si>
  <si>
    <t>A_MAS0012</t>
  </si>
  <si>
    <t>2 – Ragazzo Tossicodipendete con siringa</t>
  </si>
  <si>
    <t>A_MAS0013</t>
  </si>
  <si>
    <t>3 – Padre Trauma Cranico</t>
  </si>
  <si>
    <t>A_MAS0014</t>
  </si>
  <si>
    <t>4 – Bidella attacco d'asma</t>
  </si>
  <si>
    <t>A_MAS0015</t>
  </si>
  <si>
    <t>5 - Madre agitata (al telfono)</t>
  </si>
  <si>
    <t>A_MAS0016</t>
  </si>
  <si>
    <t>chiede intervento di mezzi di soccorso e automedica</t>
  </si>
  <si>
    <t>HDR_Master_ATTITUDINI_DEL_CAPO_SQUADRA</t>
  </si>
  <si>
    <t>ATTITUDINI DEL CAPO SQUADRA</t>
  </si>
  <si>
    <t>A_MAS0017</t>
  </si>
  <si>
    <t>determina ruoli e competenze</t>
  </si>
  <si>
    <t>A_MAS0018</t>
  </si>
  <si>
    <t>individua le priorità</t>
  </si>
  <si>
    <t>A_MAS0019</t>
  </si>
  <si>
    <t>aiuta in modo mirato</t>
  </si>
  <si>
    <t>A_MAS0020</t>
  </si>
  <si>
    <t>mantiene il controllo (ordine e tranquillità)</t>
  </si>
  <si>
    <t>A_MAS0021</t>
  </si>
  <si>
    <t>supporto continuo ai membri del team</t>
  </si>
  <si>
    <t>A_MAS0022</t>
  </si>
  <si>
    <t>iniziativa e inventiva</t>
  </si>
  <si>
    <t>A_MAS0023</t>
  </si>
  <si>
    <t>capacità comunicativa e affiatamento della squadra</t>
  </si>
  <si>
    <t>HDR_Master_REPORT_FINALE</t>
  </si>
  <si>
    <t>REPORT FINALE</t>
  </si>
  <si>
    <t>A_MAS0024</t>
  </si>
  <si>
    <t>numero infortunati</t>
  </si>
  <si>
    <t>A_MAS0025</t>
  </si>
  <si>
    <t>lesioni e trattamenti</t>
  </si>
  <si>
    <t>HDR_Master_RISULTATO_TECNICO</t>
  </si>
  <si>
    <t>RISULTATO TECNICO</t>
  </si>
  <si>
    <t>A_MAS0026</t>
  </si>
  <si>
    <t>raggiungono l’obiettivo</t>
  </si>
  <si>
    <t>HDR_PBLS_COMPORTAMENTO_SULLA_SCENA</t>
  </si>
  <si>
    <t>COMPORTAMENTO SULLA SCENA</t>
  </si>
  <si>
    <t>A_PBL0001</t>
  </si>
  <si>
    <t>indossa i D.P.I. in scena</t>
  </si>
  <si>
    <t>A_PBL0002</t>
  </si>
  <si>
    <t>rende sicura la scena</t>
  </si>
  <si>
    <t>A_PBL0003</t>
  </si>
  <si>
    <t>A_PBL0004</t>
  </si>
  <si>
    <t>parla con la persona/astanti  informandosi sull’accaduto</t>
  </si>
  <si>
    <t>A_PBL0005</t>
  </si>
  <si>
    <t>atteggiamento professionale (cortese ma determinato)</t>
  </si>
  <si>
    <t>HDR_PBLS_MISURE_DI_PRIMO_SOCCORSO</t>
  </si>
  <si>
    <t>MISURE DI PRIMO SOCCORSO</t>
  </si>
  <si>
    <t>A_PBL0006</t>
  </si>
  <si>
    <t>valuta lo stato  della coscienza</t>
  </si>
  <si>
    <t>A_PBL0007</t>
  </si>
  <si>
    <t>chiede aiuto/si informa sulla presenza di dae (presente)</t>
  </si>
  <si>
    <t>A_PBL0008</t>
  </si>
  <si>
    <t>si posiziona in modo da garantire la sicurezza del DAE</t>
  </si>
  <si>
    <t>A_PBL0009</t>
  </si>
  <si>
    <t>Posiziona su piano rigido e allinea il corpo</t>
  </si>
  <si>
    <t>A_PBL0010</t>
  </si>
  <si>
    <t>Slaccia ciò che stringe e scopre torace e addome</t>
  </si>
  <si>
    <t>A_PBL0011</t>
  </si>
  <si>
    <t>estende il capo</t>
  </si>
  <si>
    <t>A_PBL0012</t>
  </si>
  <si>
    <t>valuta respiro per 10 sec.</t>
  </si>
  <si>
    <t>A_PBL0013</t>
  </si>
  <si>
    <t>eroga 5 ventilazioni efficaci</t>
  </si>
  <si>
    <t>A_PBL0014</t>
  </si>
  <si>
    <t>valuta i segni di circolo per 10 sec.</t>
  </si>
  <si>
    <t>A_PBL0015</t>
  </si>
  <si>
    <t>inizia RCP 30/2</t>
  </si>
  <si>
    <t>A_PBL0016</t>
  </si>
  <si>
    <t>frequenza e profondità delle compressioni toraciche</t>
  </si>
  <si>
    <t>A_PBL0017</t>
  </si>
  <si>
    <t>si accerta dell’arrivo del soccorso organizzato (ambul. + autom.)</t>
  </si>
  <si>
    <t>A_PBL0018</t>
  </si>
  <si>
    <t>accende il DAE e applica correttamente gli elettrodi</t>
  </si>
  <si>
    <t>A_PBL0019</t>
  </si>
  <si>
    <t>interrompe l’RCP durante l’analisi</t>
  </si>
  <si>
    <t>A_PBL0020</t>
  </si>
  <si>
    <t>Fa Sicurezza durante l'analisi</t>
  </si>
  <si>
    <t>A_PBL0021</t>
  </si>
  <si>
    <t>Eroga lo shock in sicurezza</t>
  </si>
  <si>
    <t>A_PBL0022</t>
  </si>
  <si>
    <t>riduce le interruzioni alle CTE al minimo</t>
  </si>
  <si>
    <t>A_PBL0023</t>
  </si>
  <si>
    <t>non perde l’estensione del capo</t>
  </si>
  <si>
    <t>HDR_Overdose_COMPORTAMENTO_SULLA_SCENA</t>
  </si>
  <si>
    <t>A_OVE0001</t>
  </si>
  <si>
    <t>Indossa  i D.P.I. In scena</t>
  </si>
  <si>
    <t>A_OVE0002</t>
  </si>
  <si>
    <t>valuta i rischi</t>
  </si>
  <si>
    <t>A_OVE0003</t>
  </si>
  <si>
    <t>Rende sicura la scena</t>
  </si>
  <si>
    <t>A_OVE0004</t>
  </si>
  <si>
    <t>A_OVE0005</t>
  </si>
  <si>
    <t>A_OVE0006</t>
  </si>
  <si>
    <t>A_OVE0007</t>
  </si>
  <si>
    <t>mantiene il contatto visivo con il paziente</t>
  </si>
  <si>
    <t>A_OVE0008</t>
  </si>
  <si>
    <t>consenso informato</t>
  </si>
  <si>
    <t>HDR_Overdose_MISURE_DI_PRIMO_SOCCORSO</t>
  </si>
  <si>
    <t>A_OVE0009</t>
  </si>
  <si>
    <t>Stabilizza la siringa</t>
  </si>
  <si>
    <t>A_OVE0010</t>
  </si>
  <si>
    <t>Controlla Coscienza (U-&gt;V)</t>
  </si>
  <si>
    <t>A_OVE0011</t>
  </si>
  <si>
    <t>Controlal Pervietà e odori</t>
  </si>
  <si>
    <t>A_OVE0012</t>
  </si>
  <si>
    <t>valuta la qualità del respiro</t>
  </si>
  <si>
    <t>A_OVE0013</t>
  </si>
  <si>
    <t>Slaccia ciò che strige</t>
  </si>
  <si>
    <t>A_OVE0014</t>
  </si>
  <si>
    <t>valuta circolo per 10 sec.</t>
  </si>
  <si>
    <t>A_OVE0015</t>
  </si>
  <si>
    <t>Controlla Cute</t>
  </si>
  <si>
    <t>A_OVE0016</t>
  </si>
  <si>
    <t>A.V.P.U.</t>
  </si>
  <si>
    <t>A_OVE0017</t>
  </si>
  <si>
    <t>Chiede al Team Leader di cercare eventuali droghe</t>
  </si>
  <si>
    <t>A_OVE0018</t>
  </si>
  <si>
    <t>A.M.P.L.E. (chiede al leader)</t>
  </si>
  <si>
    <t>A_OVE0019</t>
  </si>
  <si>
    <t>rivalutazione (A-B-C)</t>
  </si>
  <si>
    <t>HDR_Overdose_ATTEGGIAMENTO_DEL_SOCCORRITORE</t>
  </si>
  <si>
    <t>ATTEGGIAMENTO DEL SOCCORRITORE</t>
  </si>
  <si>
    <t>A_OVE0020</t>
  </si>
  <si>
    <t>informa l’infortunato di ciò che fa</t>
  </si>
  <si>
    <t>A_OVE0021</t>
  </si>
  <si>
    <t>valutazione del simulatore (ti sei sentito a tuo agio?)</t>
  </si>
  <si>
    <t>HDR_TC_COMPORTAMENTO_SULLA_SCENA</t>
  </si>
  <si>
    <t>A_TCR0001</t>
  </si>
  <si>
    <t>A_TCR0002</t>
  </si>
  <si>
    <t>A_TCR0003</t>
  </si>
  <si>
    <t>A_TCR0004</t>
  </si>
  <si>
    <t>A_TCR0005</t>
  </si>
  <si>
    <t>A_TCR0006</t>
  </si>
  <si>
    <t>A_TCR0007</t>
  </si>
  <si>
    <t>A_TCR0008</t>
  </si>
  <si>
    <t>HDR_TC_MISURE_DI_PRIMO_SOCCORSO</t>
  </si>
  <si>
    <t>A_TCR0009</t>
  </si>
  <si>
    <t>Ferma il capo e allinea il corpo</t>
  </si>
  <si>
    <t>A_TCR0010</t>
  </si>
  <si>
    <t>immobilizzazione solida del capo (collarino + mani o altro)</t>
  </si>
  <si>
    <t>A_TCR0011</t>
  </si>
  <si>
    <t>valuta lo stato  di coscienza</t>
  </si>
  <si>
    <t>A_TCR0012</t>
  </si>
  <si>
    <t>slaccia ciò che stringe</t>
  </si>
  <si>
    <t>A_TCR0013</t>
  </si>
  <si>
    <t>valuta la qualità del respiro per 10 sec.</t>
  </si>
  <si>
    <t>A_TCR0014</t>
  </si>
  <si>
    <t>valuta il circolo per 10 sec.</t>
  </si>
  <si>
    <t>A_TCR0015</t>
  </si>
  <si>
    <t>A_TCR0016</t>
  </si>
  <si>
    <t>valutazione testa- piedi</t>
  </si>
  <si>
    <t>A_TCR0017</t>
  </si>
  <si>
    <t>lava le ferite</t>
  </si>
  <si>
    <t>A_TCR0018</t>
  </si>
  <si>
    <t>medica le ferite</t>
  </si>
  <si>
    <t>A_TCR0019</t>
  </si>
  <si>
    <t>protezione termica adeguata</t>
  </si>
  <si>
    <t>A_TCR0020</t>
  </si>
  <si>
    <t>A.M.P.L.E. (Tramite moglie al Telefono)</t>
  </si>
  <si>
    <t>A_TCR0021</t>
  </si>
  <si>
    <t>HDR_TC_ATTEGGIAMENTO_DEL_SOCCORRITORE</t>
  </si>
  <si>
    <t>A_TCR0022</t>
  </si>
  <si>
    <t>A_TCR0023</t>
  </si>
  <si>
    <t>HDR_Asma_COMPORTAMENTO_SULLA_SCENA</t>
  </si>
  <si>
    <t>A_ASM0001</t>
  </si>
  <si>
    <t>A_ASM0002</t>
  </si>
  <si>
    <t>A_ASM0003</t>
  </si>
  <si>
    <t>A_ASM0004</t>
  </si>
  <si>
    <t>A_ASM0005</t>
  </si>
  <si>
    <t>A_ASM0006</t>
  </si>
  <si>
    <t>A_ASM0007</t>
  </si>
  <si>
    <t>A_ASM0008</t>
  </si>
  <si>
    <t>HDR_Asma_MISURE_DI_PRIMO_SOCCORSO</t>
  </si>
  <si>
    <t>A_ASM0009</t>
  </si>
  <si>
    <t>lo asseconda e lo tranquillizza</t>
  </si>
  <si>
    <t>A_ASM0010</t>
  </si>
  <si>
    <t>lo aiuta a sedersi</t>
  </si>
  <si>
    <t>A_ASM0011</t>
  </si>
  <si>
    <t>A_ASM0012</t>
  </si>
  <si>
    <t>Si informa sulla patologia (ASMA)</t>
  </si>
  <si>
    <t>A_ASM0013</t>
  </si>
  <si>
    <t>Cerca o fa cercare il Ventoln</t>
  </si>
  <si>
    <t>A_ASM0014</t>
  </si>
  <si>
    <t>Aiuta ad automministrare il ventolin</t>
  </si>
  <si>
    <t>A_ASM0015</t>
  </si>
  <si>
    <t>A_ASM0016</t>
  </si>
  <si>
    <t>rivaluta (ABC)</t>
  </si>
  <si>
    <t>A_ASM0017</t>
  </si>
  <si>
    <t>A_ASM0018</t>
  </si>
  <si>
    <t>A.M.P.L.E.</t>
  </si>
  <si>
    <t>A_ASM0019</t>
  </si>
  <si>
    <t>A.M.P.L.E. Bambino - Chiede informazioni</t>
  </si>
  <si>
    <t>HDR_Asma_ATTEGGIAMENTO_DEL_SOCCORRITORE</t>
  </si>
  <si>
    <t>A_ASM0020</t>
  </si>
  <si>
    <t>A_ASM0021</t>
  </si>
  <si>
    <t>idValutazione</t>
  </si>
  <si>
    <t>Squadra</t>
  </si>
  <si>
    <t>Timestamp</t>
  </si>
  <si>
    <t>Giudice</t>
  </si>
  <si>
    <t>ISSep</t>
  </si>
  <si>
    <t>__PowerAppsId__</t>
  </si>
  <si>
    <t>1-A_MAS0001</t>
  </si>
  <si>
    <t>Peter Griffin</t>
  </si>
  <si>
    <t>1-A_MAS0003</t>
  </si>
  <si>
    <t>1-A_MAS0005</t>
  </si>
  <si>
    <t>1-A_MAS0006</t>
  </si>
  <si>
    <t>1-A_MAS0007</t>
  </si>
  <si>
    <t>1-A_MAS0008</t>
  </si>
  <si>
    <t>1-A_MAS0009</t>
  </si>
  <si>
    <t>1-A_MAS0010</t>
  </si>
  <si>
    <t>1-A_MAS0011</t>
  </si>
  <si>
    <t>1-A_MAS0012</t>
  </si>
  <si>
    <t>1-A_MAS0013</t>
  </si>
  <si>
    <t>1-A_MAS0014</t>
  </si>
  <si>
    <t>1-A_MAS0015</t>
  </si>
  <si>
    <t>1-A_MAS0016</t>
  </si>
  <si>
    <t>1-A_MAS0017</t>
  </si>
  <si>
    <t>1-A_MAS0018</t>
  </si>
  <si>
    <t>1-A_MAS0019</t>
  </si>
  <si>
    <t>1-A_MAS0020</t>
  </si>
  <si>
    <t>1-A_MAS0021</t>
  </si>
  <si>
    <t>1-A_MAS0022</t>
  </si>
  <si>
    <t>1-A_MAS0023</t>
  </si>
  <si>
    <t>1-A_MAS0024</t>
  </si>
  <si>
    <t>1-A_MAS0025</t>
  </si>
  <si>
    <t>1-A_MAS0026</t>
  </si>
  <si>
    <t>1-A_PBL0001</t>
  </si>
  <si>
    <t>1-A_PBL0002</t>
  </si>
  <si>
    <t>1-A_PBL0003</t>
  </si>
  <si>
    <t>1-A_PBL0004</t>
  </si>
  <si>
    <t>1-A_PBL0005</t>
  </si>
  <si>
    <t>1-A_PBL0006</t>
  </si>
  <si>
    <t>1-A_PBL0007</t>
  </si>
  <si>
    <t>1-A_PBL0008</t>
  </si>
  <si>
    <t>1-A_PBL0009</t>
  </si>
  <si>
    <t>1-A_PBL0010</t>
  </si>
  <si>
    <t>1-A_PBL0011</t>
  </si>
  <si>
    <t>1-A_PBL0012</t>
  </si>
  <si>
    <t>1-A_PBL0013</t>
  </si>
  <si>
    <t>1-A_PBL0014</t>
  </si>
  <si>
    <t>1-A_PBL0015</t>
  </si>
  <si>
    <t>1-A_PBL0016</t>
  </si>
  <si>
    <t>1-A_PBL0017</t>
  </si>
  <si>
    <t>1-A_PBL0018</t>
  </si>
  <si>
    <t>1-A_PBL0019</t>
  </si>
  <si>
    <t>1-A_PBL0020</t>
  </si>
  <si>
    <t>1-A_PBL0021</t>
  </si>
  <si>
    <t>1-A_PBL0022</t>
  </si>
  <si>
    <t>1-A_PBL0023</t>
  </si>
  <si>
    <t>1-A_MAS0002</t>
  </si>
  <si>
    <t>1-A_MAS0004</t>
  </si>
  <si>
    <t>1-A_OVE0001</t>
  </si>
  <si>
    <t>1-A_OVE0002</t>
  </si>
  <si>
    <t>1-A_OVE0003</t>
  </si>
  <si>
    <t>1-A_OVE0004</t>
  </si>
  <si>
    <t>1-A_OVE0005</t>
  </si>
  <si>
    <t>1-A_OVE0006</t>
  </si>
  <si>
    <t>1-A_OVE0007</t>
  </si>
  <si>
    <t>1-A_OVE0008</t>
  </si>
  <si>
    <t>1-A_OVE0009</t>
  </si>
  <si>
    <t>1-A_OVE0010</t>
  </si>
  <si>
    <t>1-A_OVE0011</t>
  </si>
  <si>
    <t>1-A_OVE0012</t>
  </si>
  <si>
    <t>1-A_OVE0013</t>
  </si>
  <si>
    <t>1-A_OVE0014</t>
  </si>
  <si>
    <t>1-A_OVE0015</t>
  </si>
  <si>
    <t>1-A_OVE0016</t>
  </si>
  <si>
    <t>1-A_OVE0017</t>
  </si>
  <si>
    <t>1-A_OVE0018</t>
  </si>
  <si>
    <t>1-A_OVE0019</t>
  </si>
  <si>
    <t>1-A_OVE0020</t>
  </si>
  <si>
    <t>1-A_OVE0021</t>
  </si>
  <si>
    <t>1-A_TCR0001</t>
  </si>
  <si>
    <t>1-A_TCR0002</t>
  </si>
  <si>
    <t>1-A_TCR0003</t>
  </si>
  <si>
    <t>1-A_TCR0004</t>
  </si>
  <si>
    <t>1-A_TCR0005</t>
  </si>
  <si>
    <t>1-A_TCR0006</t>
  </si>
  <si>
    <t>1-A_TCR0007</t>
  </si>
  <si>
    <t>1-A_TCR0008</t>
  </si>
  <si>
    <t>1-A_TCR0009</t>
  </si>
  <si>
    <t>1-A_TCR0010</t>
  </si>
  <si>
    <t>1-A_TCR0011</t>
  </si>
  <si>
    <t>1-A_TCR0012</t>
  </si>
  <si>
    <t>1-A_TCR0013</t>
  </si>
  <si>
    <t>1-A_TCR0014</t>
  </si>
  <si>
    <t>1-A_TCR0015</t>
  </si>
  <si>
    <t>1-A_TCR0016</t>
  </si>
  <si>
    <t>1-A_TCR0017</t>
  </si>
  <si>
    <t>1-A_TCR0018</t>
  </si>
  <si>
    <t>1-A_TCR0019</t>
  </si>
  <si>
    <t>1-A_TCR0020</t>
  </si>
  <si>
    <t>1-A_TCR0021</t>
  </si>
  <si>
    <t>1-A_TCR0022</t>
  </si>
  <si>
    <t>1-A_TCR0023</t>
  </si>
  <si>
    <t>1-A_ASM0001</t>
  </si>
  <si>
    <t>1-A_ASM0002</t>
  </si>
  <si>
    <t>1-A_ASM0003</t>
  </si>
  <si>
    <t>1-A_ASM0004</t>
  </si>
  <si>
    <t>1-A_ASM0005</t>
  </si>
  <si>
    <t>1-A_ASM0006</t>
  </si>
  <si>
    <t>1-A_ASM0007</t>
  </si>
  <si>
    <t>1-A_ASM0008</t>
  </si>
  <si>
    <t>1-A_ASM0009</t>
  </si>
  <si>
    <t>1-A_ASM0010</t>
  </si>
  <si>
    <t>1-A_ASM0011</t>
  </si>
  <si>
    <t>1-A_ASM0012</t>
  </si>
  <si>
    <t>1-A_ASM0013</t>
  </si>
  <si>
    <t>1-A_ASM0014</t>
  </si>
  <si>
    <t>1-A_ASM0015</t>
  </si>
  <si>
    <t>1-A_ASM0016</t>
  </si>
  <si>
    <t>1-A_ASM0017</t>
  </si>
  <si>
    <t>1-A_ASM0018</t>
  </si>
  <si>
    <t>1-A_ASM0019</t>
  </si>
  <si>
    <t>1-A_ASM0020</t>
  </si>
  <si>
    <t>1-A_ASM0021</t>
  </si>
  <si>
    <t>3-A_MAS0001</t>
  </si>
  <si>
    <t>3-A_MAS0002</t>
  </si>
  <si>
    <t>3-A_MAS0003</t>
  </si>
  <si>
    <t>3-A_MAS0004</t>
  </si>
  <si>
    <t>3-A_MAS0005</t>
  </si>
  <si>
    <t>3-A_MAS0006</t>
  </si>
  <si>
    <t>3-A_MAS0007</t>
  </si>
  <si>
    <t>3-A_MAS0008</t>
  </si>
  <si>
    <t>3-A_MAS0009</t>
  </si>
  <si>
    <t>3-A_MAS0010</t>
  </si>
  <si>
    <t>3-A_MAS0011</t>
  </si>
  <si>
    <t>3-A_MAS0012</t>
  </si>
  <si>
    <t>3-A_MAS0013</t>
  </si>
  <si>
    <t>3-A_MAS0014</t>
  </si>
  <si>
    <t>3-A_MAS0015</t>
  </si>
  <si>
    <t>3-A_MAS0016</t>
  </si>
  <si>
    <t>3-A_MAS0017</t>
  </si>
  <si>
    <t>3-A_MAS0018</t>
  </si>
  <si>
    <t>3-A_MAS0019</t>
  </si>
  <si>
    <t>3-A_MAS0020</t>
  </si>
  <si>
    <t>3-A_MAS0021</t>
  </si>
  <si>
    <t>3-A_MAS0022</t>
  </si>
  <si>
    <t>3-A_MAS0023</t>
  </si>
  <si>
    <t>3-A_MAS0024</t>
  </si>
  <si>
    <t>3-A_MAS0025</t>
  </si>
  <si>
    <t>3-A_MAS0026</t>
  </si>
  <si>
    <t>3-A_PBL0001</t>
  </si>
  <si>
    <t>3-A_PBL0002</t>
  </si>
  <si>
    <t>3-A_PBL0003</t>
  </si>
  <si>
    <t>3-A_PBL0004</t>
  </si>
  <si>
    <t>3-A_PBL0005</t>
  </si>
  <si>
    <t>3-A_PBL0006</t>
  </si>
  <si>
    <t>3-A_PBL0007</t>
  </si>
  <si>
    <t>3-A_PBL0008</t>
  </si>
  <si>
    <t>3-A_PBL0009</t>
  </si>
  <si>
    <t>3-A_PBL0010</t>
  </si>
  <si>
    <t>3-A_PBL0013</t>
  </si>
  <si>
    <t>3-A_PBL0014</t>
  </si>
  <si>
    <t>3-A_PBL0016</t>
  </si>
  <si>
    <t>3-A_PBL0017</t>
  </si>
  <si>
    <t>3-A_PBL0018</t>
  </si>
  <si>
    <t>3-A_PBL0019</t>
  </si>
  <si>
    <t>3-A_PBL0020</t>
  </si>
  <si>
    <t>3-A_PBL0011</t>
  </si>
  <si>
    <t>3-A_PBL0012</t>
  </si>
  <si>
    <t>3-A_PBL0015</t>
  </si>
  <si>
    <t>3-A_PBL0021</t>
  </si>
  <si>
    <t>3-A_PBL0022</t>
  </si>
  <si>
    <t>3-A_PBL0023</t>
  </si>
  <si>
    <t>3-A_OVE0001</t>
  </si>
  <si>
    <t>3-A_OVE0002</t>
  </si>
  <si>
    <t>3-A_OVE0003</t>
  </si>
  <si>
    <t>3-A_OVE0004</t>
  </si>
  <si>
    <t>3-A_OVE0005</t>
  </si>
  <si>
    <t>3-A_OVE0006</t>
  </si>
  <si>
    <t>3-A_OVE0007</t>
  </si>
  <si>
    <t>3-A_OVE0008</t>
  </si>
  <si>
    <t>3-A_OVE0009</t>
  </si>
  <si>
    <t>3-A_OVE0010</t>
  </si>
  <si>
    <t>3-A_OVE0011</t>
  </si>
  <si>
    <t>3-A_OVE0012</t>
  </si>
  <si>
    <t>3-A_OVE0013</t>
  </si>
  <si>
    <t>3-A_OVE0014</t>
  </si>
  <si>
    <t>3-A_OVE0015</t>
  </si>
  <si>
    <t>3-A_OVE0016</t>
  </si>
  <si>
    <t>3-A_OVE0017</t>
  </si>
  <si>
    <t>3-A_OVE0018</t>
  </si>
  <si>
    <t>3-A_OVE0019</t>
  </si>
  <si>
    <t>3-A_OVE0020</t>
  </si>
  <si>
    <t>3-A_OVE0021</t>
  </si>
  <si>
    <t>3-A_TCR0001</t>
  </si>
  <si>
    <t>3-A_TCR0002</t>
  </si>
  <si>
    <t>3-A_TCR0003</t>
  </si>
  <si>
    <t>3-A_TCR0004</t>
  </si>
  <si>
    <t>3-A_TCR0005</t>
  </si>
  <si>
    <t>3-A_TCR0006</t>
  </si>
  <si>
    <t>3-A_TCR0007</t>
  </si>
  <si>
    <t>3-A_TCR0008</t>
  </si>
  <si>
    <t>3-A_TCR0009</t>
  </si>
  <si>
    <t>3-A_TCR0010</t>
  </si>
  <si>
    <t>3-A_TCR0011</t>
  </si>
  <si>
    <t>3-A_TCR0012</t>
  </si>
  <si>
    <t>3-A_TCR0013</t>
  </si>
  <si>
    <t>3-A_TCR0014</t>
  </si>
  <si>
    <t>3-A_TCR0015</t>
  </si>
  <si>
    <t>3-A_TCR0016</t>
  </si>
  <si>
    <t>3-A_TCR0017</t>
  </si>
  <si>
    <t>3-A_TCR0018</t>
  </si>
  <si>
    <t>3-A_TCR0019</t>
  </si>
  <si>
    <t>3-A_TCR0020</t>
  </si>
  <si>
    <t>3-A_TCR0021</t>
  </si>
  <si>
    <t>3-A_TCR0022</t>
  </si>
  <si>
    <t>3-A_TCR0023</t>
  </si>
  <si>
    <t>3-A_ASM0001</t>
  </si>
  <si>
    <t>3-A_ASM0002</t>
  </si>
  <si>
    <t>3-A_ASM0003</t>
  </si>
  <si>
    <t>3-A_ASM0004</t>
  </si>
  <si>
    <t>3-A_ASM0005</t>
  </si>
  <si>
    <t>3-A_ASM0006</t>
  </si>
  <si>
    <t>3-A_ASM0007</t>
  </si>
  <si>
    <t>3-A_ASM0008</t>
  </si>
  <si>
    <t>3-A_ASM0009</t>
  </si>
  <si>
    <t>3-A_ASM0010</t>
  </si>
  <si>
    <t>3-A_ASM0011</t>
  </si>
  <si>
    <t>3-A_ASM0012</t>
  </si>
  <si>
    <t>3-A_ASM0013</t>
  </si>
  <si>
    <t>3-A_ASM0014</t>
  </si>
  <si>
    <t>3-A_ASM0015</t>
  </si>
  <si>
    <t>3-A_ASM0016</t>
  </si>
  <si>
    <t>3-A_ASM0017</t>
  </si>
  <si>
    <t>3-A_ASM0018</t>
  </si>
  <si>
    <t>3-A_ASM0019</t>
  </si>
  <si>
    <t>3-A_ASM0020</t>
  </si>
  <si>
    <t>3-A_ASM0021</t>
  </si>
  <si>
    <t>2-A_MAS0001</t>
  </si>
  <si>
    <t>Homer Simpson</t>
  </si>
  <si>
    <t>2-A_MAS0002</t>
  </si>
  <si>
    <t>2-A_MAS0003</t>
  </si>
  <si>
    <t>2-A_MAS0004</t>
  </si>
  <si>
    <t>2-A_MAS0005</t>
  </si>
  <si>
    <t>2-A_MAS0006</t>
  </si>
  <si>
    <t>2-A_MAS0007</t>
  </si>
  <si>
    <t>2-A_MAS0008</t>
  </si>
  <si>
    <t>2-A_MAS0009</t>
  </si>
  <si>
    <t>2-A_MAS0010</t>
  </si>
  <si>
    <t>2-A_MAS0011</t>
  </si>
  <si>
    <t>2-A_MAS0012</t>
  </si>
  <si>
    <t>2-A_MAS0013</t>
  </si>
  <si>
    <t>2-A_MAS0014</t>
  </si>
  <si>
    <t>2-A_MAS0015</t>
  </si>
  <si>
    <t>2-A_MAS0016</t>
  </si>
  <si>
    <t>2-A_MAS0017</t>
  </si>
  <si>
    <t>2-A_MAS0018</t>
  </si>
  <si>
    <t>2-A_MAS0019</t>
  </si>
  <si>
    <t>2-A_MAS0020</t>
  </si>
  <si>
    <t>2-A_MAS0021</t>
  </si>
  <si>
    <t>2-A_MAS0022</t>
  </si>
  <si>
    <t>2-A_MAS0023</t>
  </si>
  <si>
    <t>2-A_MAS0024</t>
  </si>
  <si>
    <t>2-A_MAS0025</t>
  </si>
  <si>
    <t>2-A_MAS0026</t>
  </si>
  <si>
    <t>2-A_PBL0001</t>
  </si>
  <si>
    <t>2-A_PBL0002</t>
  </si>
  <si>
    <t>2-A_PBL0003</t>
  </si>
  <si>
    <t>2-A_PBL0004</t>
  </si>
  <si>
    <t>2-A_PBL0005</t>
  </si>
  <si>
    <t>2-A_PBL0006</t>
  </si>
  <si>
    <t>2-A_PBL0007</t>
  </si>
  <si>
    <t>2-A_PBL0008</t>
  </si>
  <si>
    <t>2-A_PBL0009</t>
  </si>
  <si>
    <t>2-A_PBL0010</t>
  </si>
  <si>
    <t>2-A_PBL0011</t>
  </si>
  <si>
    <t>2-A_PBL0012</t>
  </si>
  <si>
    <t>2-A_PBL0013</t>
  </si>
  <si>
    <t>2-A_PBL0014</t>
  </si>
  <si>
    <t>2-A_PBL0015</t>
  </si>
  <si>
    <t>2-A_PBL0016</t>
  </si>
  <si>
    <t>2-A_PBL0017</t>
  </si>
  <si>
    <t>2-A_PBL0018</t>
  </si>
  <si>
    <t>2-A_PBL0019</t>
  </si>
  <si>
    <t>2-A_PBL0020</t>
  </si>
  <si>
    <t>2-A_PBL0021</t>
  </si>
  <si>
    <t>2-A_PBL0022</t>
  </si>
  <si>
    <t>2-A_PBL0023</t>
  </si>
  <si>
    <t>2-A_ASM0001</t>
  </si>
  <si>
    <t>2-A_ASM0002</t>
  </si>
  <si>
    <t>2-A_ASM0003</t>
  </si>
  <si>
    <t>2-A_ASM0004</t>
  </si>
  <si>
    <t>2-A_ASM0005</t>
  </si>
  <si>
    <t>2-A_ASM0006</t>
  </si>
  <si>
    <t>2-A_ASM0007</t>
  </si>
  <si>
    <t>2-A_ASM0008</t>
  </si>
  <si>
    <t>2-A_ASM0009</t>
  </si>
  <si>
    <t>2-A_ASM0010</t>
  </si>
  <si>
    <t>2-A_ASM0011</t>
  </si>
  <si>
    <t>2-A_ASM0012</t>
  </si>
  <si>
    <t>2-A_ASM0013</t>
  </si>
  <si>
    <t>2-A_ASM0014</t>
  </si>
  <si>
    <t>2-A_ASM0015</t>
  </si>
  <si>
    <t>2-A_ASM0016</t>
  </si>
  <si>
    <t>2-A_ASM0017</t>
  </si>
  <si>
    <t>2-A_ASM0018</t>
  </si>
  <si>
    <t>2-A_ASM0019</t>
  </si>
  <si>
    <t>2-A_ASM0020</t>
  </si>
  <si>
    <t>2-A_ASM0021</t>
  </si>
  <si>
    <t>2-A_TCR0001</t>
  </si>
  <si>
    <t>2-A_TCR0002</t>
  </si>
  <si>
    <t>2-A_TCR0003</t>
  </si>
  <si>
    <t>2-A_TCR0004</t>
  </si>
  <si>
    <t>2-A_TCR0005</t>
  </si>
  <si>
    <t>2-A_TCR0006</t>
  </si>
  <si>
    <t>2-A_TCR0007</t>
  </si>
  <si>
    <t>2-A_TCR0008</t>
  </si>
  <si>
    <t>2-A_TCR0009</t>
  </si>
  <si>
    <t>2-A_TCR0010</t>
  </si>
  <si>
    <t>2-A_TCR0011</t>
  </si>
  <si>
    <t>2-A_TCR0012</t>
  </si>
  <si>
    <t>2-A_TCR0013</t>
  </si>
  <si>
    <t>2-A_TCR0014</t>
  </si>
  <si>
    <t>2-A_TCR0015</t>
  </si>
  <si>
    <t>2-A_TCR0016</t>
  </si>
  <si>
    <t>2-A_TCR0017</t>
  </si>
  <si>
    <t>2-A_TCR0018</t>
  </si>
  <si>
    <t>2-A_TCR0019</t>
  </si>
  <si>
    <t>2-A_TCR0020</t>
  </si>
  <si>
    <t>2-A_TCR0021</t>
  </si>
  <si>
    <t>2-A_TCR0022</t>
  </si>
  <si>
    <t>2-A_TCR0023</t>
  </si>
  <si>
    <t>2-A_OVE0001</t>
  </si>
  <si>
    <t>2-A_OVE0002</t>
  </si>
  <si>
    <t>2-A_OVE0003</t>
  </si>
  <si>
    <t>2-A_OVE0004</t>
  </si>
  <si>
    <t>2-A_OVE0005</t>
  </si>
  <si>
    <t>2-A_OVE0006</t>
  </si>
  <si>
    <t>2-A_OVE0007</t>
  </si>
  <si>
    <t>2-A_OVE0008</t>
  </si>
  <si>
    <t>2-A_OVE0009</t>
  </si>
  <si>
    <t>2-A_OVE0010</t>
  </si>
  <si>
    <t>2-A_OVE0011</t>
  </si>
  <si>
    <t>2-A_OVE0012</t>
  </si>
  <si>
    <t>2-A_OVE0013</t>
  </si>
  <si>
    <t>2-A_OVE0014</t>
  </si>
  <si>
    <t>2-A_OVE0015</t>
  </si>
  <si>
    <t>2-A_OVE0016</t>
  </si>
  <si>
    <t>2-A_OVE0017</t>
  </si>
  <si>
    <t>2-A_OVE0018</t>
  </si>
  <si>
    <t>2-A_OVE0019</t>
  </si>
  <si>
    <t>2-A_OVE0020</t>
  </si>
  <si>
    <t>2-A_OVE0021</t>
  </si>
  <si>
    <t>SquadraID</t>
  </si>
  <si>
    <t>Squadra_Nome</t>
  </si>
  <si>
    <t>Prova</t>
  </si>
  <si>
    <t>Carpineti</t>
  </si>
  <si>
    <t>Scandiano</t>
  </si>
  <si>
    <t>Liguria 1</t>
  </si>
  <si>
    <t>Liguria 2</t>
  </si>
  <si>
    <t>Liguria 3</t>
  </si>
  <si>
    <t>A(SlotScheda)</t>
  </si>
  <si>
    <t>B (TipoScheda)</t>
  </si>
  <si>
    <t>SIGLA</t>
  </si>
  <si>
    <t>CodiceColonna</t>
  </si>
  <si>
    <t>MAS</t>
  </si>
  <si>
    <t>S0</t>
  </si>
  <si>
    <t>NO</t>
  </si>
  <si>
    <t>PBL</t>
  </si>
  <si>
    <t>S1</t>
  </si>
  <si>
    <t>OVE</t>
  </si>
  <si>
    <t>S2</t>
  </si>
  <si>
    <t>TCR</t>
  </si>
  <si>
    <t>S3</t>
  </si>
  <si>
    <t>ASM</t>
  </si>
  <si>
    <t>S4</t>
  </si>
  <si>
    <t>S5</t>
  </si>
  <si>
    <t>S6</t>
  </si>
  <si>
    <t>Totale</t>
  </si>
  <si>
    <t>SEP</t>
  </si>
  <si>
    <t>RankTOT</t>
  </si>
  <si>
    <t>RankSEP</t>
  </si>
  <si>
    <t>Percentuale</t>
  </si>
  <si>
    <t>PercentualeSEP</t>
  </si>
  <si>
    <t>SQUADRA</t>
  </si>
  <si>
    <t>SCHEDE</t>
  </si>
  <si>
    <t>RUOLO</t>
  </si>
  <si>
    <t>Simulatore</t>
  </si>
  <si>
    <t>Patologia</t>
  </si>
  <si>
    <t>Coscienza</t>
  </si>
  <si>
    <t>FR</t>
  </si>
  <si>
    <t>FC</t>
  </si>
  <si>
    <t>CUTE</t>
  </si>
  <si>
    <t>Codice Scheda</t>
  </si>
  <si>
    <t>Punteggio Massimo</t>
  </si>
  <si>
    <t>Realizzato</t>
  </si>
  <si>
    <t>Sep Realizzato</t>
  </si>
  <si>
    <t>M</t>
  </si>
  <si>
    <t>Giudice 1</t>
  </si>
  <si>
    <t>Emorragia femorale</t>
  </si>
  <si>
    <t>V</t>
  </si>
  <si>
    <t>Pallida, sudta</t>
  </si>
  <si>
    <t>Giudice 2</t>
  </si>
  <si>
    <t>Trauma</t>
  </si>
  <si>
    <t>Pallida, sudata</t>
  </si>
  <si>
    <t>Giudice 3</t>
  </si>
  <si>
    <t>Frattura Polso</t>
  </si>
  <si>
    <t>Normale</t>
  </si>
  <si>
    <t>Giudice 4</t>
  </si>
  <si>
    <t>Sincope</t>
  </si>
  <si>
    <t>Punteggio Massimo scena</t>
  </si>
  <si>
    <t>Punteggio realizzato</t>
  </si>
  <si>
    <t>SEP Massimo</t>
  </si>
  <si>
    <t>BLSD Massimo</t>
  </si>
  <si>
    <t>BLSD Realizzato</t>
  </si>
  <si>
    <t>Leader Massimo</t>
  </si>
  <si>
    <t>Leader Realizzato</t>
  </si>
  <si>
    <t>TitoloScena</t>
  </si>
  <si>
    <t>TimeStampScena</t>
  </si>
  <si>
    <t>StatoScena</t>
  </si>
  <si>
    <t>ScenaCodice_tmp</t>
  </si>
  <si>
    <t>SquadraID_tmp</t>
  </si>
  <si>
    <t>Ruolo</t>
  </si>
  <si>
    <t>SimulatoreCodice</t>
  </si>
  <si>
    <t>Cute</t>
  </si>
  <si>
    <t>Attiva</t>
  </si>
  <si>
    <t>U</t>
  </si>
  <si>
    <t>P</t>
  </si>
  <si>
    <t xml:space="preserve">V </t>
  </si>
  <si>
    <t>Giudice 5</t>
  </si>
  <si>
    <t>Agitata</t>
  </si>
  <si>
    <t>ValoreSquadra_Helper</t>
  </si>
  <si>
    <t>IdValutazione_Helper</t>
  </si>
  <si>
    <t>ValoreHelper</t>
  </si>
  <si>
    <t>Tipo Valutazione</t>
  </si>
  <si>
    <t>Molto bene</t>
  </si>
  <si>
    <t>Bene</t>
  </si>
  <si>
    <t>Soddisfacente</t>
  </si>
  <si>
    <t>Insufficiente</t>
  </si>
  <si>
    <t>Non fatto</t>
  </si>
  <si>
    <t>LAD</t>
  </si>
  <si>
    <t>Scena</t>
  </si>
  <si>
    <t xml:space="preserve">percorre tutta la scena e la rende sicura </t>
  </si>
  <si>
    <t>Sentiero della memoria</t>
  </si>
  <si>
    <t>Scheda piena</t>
  </si>
  <si>
    <t>realizzato</t>
  </si>
  <si>
    <t>SEP PIENO</t>
  </si>
  <si>
    <t xml:space="preserve">numero infortunati </t>
  </si>
  <si>
    <t>Item 38</t>
  </si>
  <si>
    <t>Item 39</t>
  </si>
  <si>
    <t>Item 41</t>
  </si>
  <si>
    <t>Item 42</t>
  </si>
  <si>
    <t>Item 43</t>
  </si>
  <si>
    <t>Item 44</t>
  </si>
  <si>
    <t>Tot</t>
  </si>
  <si>
    <t>PBLSD</t>
  </si>
  <si>
    <t>Item 26</t>
  </si>
  <si>
    <t>Item 27</t>
  </si>
  <si>
    <t>Item 28</t>
  </si>
  <si>
    <t>Item 29</t>
  </si>
  <si>
    <t>Item 30</t>
  </si>
  <si>
    <t>Item 31</t>
  </si>
  <si>
    <t>Item 32</t>
  </si>
  <si>
    <t>Item 33</t>
  </si>
  <si>
    <t>Item 34</t>
  </si>
  <si>
    <t>Item 35</t>
  </si>
  <si>
    <t>Item 36</t>
  </si>
  <si>
    <t>Item 37</t>
  </si>
  <si>
    <t>B</t>
  </si>
  <si>
    <t>Il sentiero dei ricordi</t>
  </si>
  <si>
    <t>ASMA</t>
  </si>
  <si>
    <t>Item 25</t>
  </si>
  <si>
    <t>Atto unico - Dramma in cortile</t>
  </si>
  <si>
    <t>Ipoglicemia</t>
  </si>
  <si>
    <t>Item 40</t>
  </si>
  <si>
    <t>E</t>
  </si>
  <si>
    <t>Discesa Rovinosa</t>
  </si>
  <si>
    <t>Ciclista Trauma Cranico e corpo conficcato</t>
  </si>
  <si>
    <t>Croce Rossa Italiana</t>
  </si>
  <si>
    <t>Gara Regionale  di primo soccorso</t>
  </si>
  <si>
    <t>Piacenza 18 Aprile 2026</t>
  </si>
  <si>
    <t>MOLTO BENE</t>
  </si>
  <si>
    <t>BENE</t>
  </si>
  <si>
    <t>SODDISFACENTE</t>
  </si>
  <si>
    <t>INSUFFICIENTE</t>
  </si>
  <si>
    <t>NON ESEGUITO</t>
  </si>
  <si>
    <t>CJ</t>
  </si>
  <si>
    <t>J</t>
  </si>
  <si>
    <t>K</t>
  </si>
  <si>
    <t>L</t>
  </si>
  <si>
    <t>D</t>
  </si>
  <si>
    <t>Note</t>
  </si>
  <si>
    <t>Firma giudice</t>
  </si>
  <si>
    <t>Parametri</t>
  </si>
  <si>
    <t>Vidimata Dott.ssa Speroni Silvia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</si>
</sst>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yyyy\-mm\-dd\ h:mm:ss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rgb="FF008000"/>
      <name val="Comic Sans MS"/>
      <family val="4"/>
    </font>
    <font>
      <b/>
      <sz val="8"/>
      <color theme="4"/>
      <name val="Comic Sans MS"/>
      <family val="4"/>
    </font>
    <font>
      <b/>
      <sz val="8"/>
      <color rgb="FFFF0000"/>
      <name val="Comic Sans MS"/>
      <family val="4"/>
    </font>
    <font>
      <b/>
      <sz val="16"/>
      <color rgb="FF008000"/>
      <name val="Wingdings"/>
      <charset val="2"/>
    </font>
    <font>
      <b/>
      <sz val="16"/>
      <color rgb="FF0000FF"/>
      <name val="Wingdings"/>
      <charset val="2"/>
    </font>
    <font>
      <b/>
      <sz val="16"/>
      <color rgb="FFFF0000"/>
      <name val="Wingdings"/>
      <charset val="2"/>
    </font>
    <font>
      <sz val="30"/>
      <color theme="1"/>
      <name val="Free 3 of 9"/>
      <family val="3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FF"/>
      <name val="Trebuchet MS"/>
      <family val="2"/>
    </font>
    <font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ourier New"/>
      <charset val="1"/>
    </font>
    <font>
      <sz val="11"/>
      <color theme="1"/>
      <name val="Segoe UI"/>
      <charset val="1"/>
    </font>
    <font>
      <b/>
      <sz val="11"/>
      <color theme="1"/>
      <name val="Segoe UI"/>
      <charset val="1"/>
    </font>
    <font>
      <sz val="10"/>
      <color rgb="FF000000"/>
      <name val="Trebuchet MS"/>
      <family val="2"/>
    </font>
    <font>
      <sz val="11"/>
      <color rgb="FF000000"/>
      <name val="Calibri"/>
      <family val="2"/>
    </font>
    <font>
      <b/>
      <sz val="20"/>
      <color rgb="FFFF0000"/>
      <name val="Arial Rounded MT Bold"/>
    </font>
    <font>
      <sz val="14"/>
      <color rgb="FF000000"/>
      <name val="Arial Rounded MT Bold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1" fillId="0" borderId="0"/>
  </cellStyleXfs>
  <cellXfs count="160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5" xfId="0" applyBorder="1"/>
    <xf numFmtId="164" fontId="0" fillId="0" borderId="0" xfId="1" applyNumberFormat="1" applyFont="1"/>
    <xf numFmtId="9" fontId="0" fillId="0" borderId="0" xfId="1" applyFont="1"/>
    <xf numFmtId="0" fontId="0" fillId="3" borderId="0" xfId="0" applyFill="1"/>
    <xf numFmtId="0" fontId="0" fillId="4" borderId="11" xfId="0" applyFill="1" applyBorder="1"/>
    <xf numFmtId="0" fontId="0" fillId="4" borderId="0" xfId="0" applyFill="1"/>
    <xf numFmtId="0" fontId="0" fillId="0" borderId="0" xfId="0" applyAlignment="1">
      <alignment horizontal="center"/>
    </xf>
    <xf numFmtId="0" fontId="16" fillId="0" borderId="0" xfId="0" applyFont="1"/>
    <xf numFmtId="0" fontId="0" fillId="0" borderId="0" xfId="0" applyAlignment="1">
      <alignment horizontal="center" wrapText="1"/>
    </xf>
    <xf numFmtId="0" fontId="0" fillId="0" borderId="0" xfId="0" quotePrefix="1"/>
    <xf numFmtId="0" fontId="0" fillId="0" borderId="0" xfId="0" applyAlignment="1">
      <alignment wrapText="1"/>
    </xf>
    <xf numFmtId="0" fontId="0" fillId="5" borderId="0" xfId="0" applyFill="1"/>
    <xf numFmtId="0" fontId="0" fillId="5" borderId="2" xfId="0" applyFill="1" applyBorder="1"/>
    <xf numFmtId="0" fontId="1" fillId="5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165" fontId="0" fillId="0" borderId="0" xfId="0" applyNumberFormat="1"/>
    <xf numFmtId="0" fontId="17" fillId="0" borderId="0" xfId="0" applyFont="1"/>
    <xf numFmtId="0" fontId="1" fillId="0" borderId="18" xfId="0" applyFont="1" applyBorder="1"/>
    <xf numFmtId="0" fontId="0" fillId="0" borderId="18" xfId="0" applyBorder="1" applyAlignment="1">
      <alignment horizontal="right"/>
    </xf>
    <xf numFmtId="0" fontId="0" fillId="0" borderId="22" xfId="0" applyBorder="1"/>
    <xf numFmtId="0" fontId="0" fillId="0" borderId="23" xfId="0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2" borderId="27" xfId="0" applyFill="1" applyBorder="1"/>
    <xf numFmtId="0" fontId="0" fillId="2" borderId="28" xfId="0" applyFill="1" applyBorder="1"/>
    <xf numFmtId="0" fontId="0" fillId="0" borderId="29" xfId="0" applyBorder="1"/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4" fillId="0" borderId="18" xfId="0" applyFont="1" applyBorder="1" applyAlignment="1">
      <alignment horizontal="center" vertical="center" textRotation="89" wrapText="1"/>
    </xf>
    <xf numFmtId="0" fontId="5" fillId="0" borderId="18" xfId="0" applyFont="1" applyBorder="1" applyAlignment="1">
      <alignment horizontal="center" vertical="center" textRotation="89" wrapText="1"/>
    </xf>
    <xf numFmtId="0" fontId="6" fillId="0" borderId="18" xfId="0" applyFont="1" applyBorder="1" applyAlignment="1">
      <alignment horizontal="center" vertical="center" textRotation="89" wrapText="1"/>
    </xf>
    <xf numFmtId="0" fontId="7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12" fillId="0" borderId="18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0" fontId="7" fillId="0" borderId="33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2" fillId="0" borderId="33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4" borderId="37" xfId="0" applyFill="1" applyBorder="1"/>
    <xf numFmtId="0" fontId="0" fillId="0" borderId="38" xfId="0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2" borderId="11" xfId="0" applyFill="1" applyBorder="1"/>
    <xf numFmtId="0" fontId="0" fillId="2" borderId="37" xfId="0" applyFill="1" applyBorder="1"/>
    <xf numFmtId="0" fontId="0" fillId="0" borderId="18" xfId="0" applyBorder="1"/>
    <xf numFmtId="0" fontId="1" fillId="0" borderId="33" xfId="0" applyFont="1" applyBorder="1"/>
    <xf numFmtId="0" fontId="18" fillId="0" borderId="0" xfId="0" applyFont="1"/>
    <xf numFmtId="0" fontId="0" fillId="0" borderId="0" xfId="0" applyAlignment="1">
      <alignment horizontal="right"/>
    </xf>
    <xf numFmtId="0" fontId="18" fillId="0" borderId="25" xfId="0" applyFont="1" applyBorder="1"/>
    <xf numFmtId="0" fontId="0" fillId="0" borderId="20" xfId="0" applyBorder="1" applyAlignment="1">
      <alignment horizontal="right"/>
    </xf>
    <xf numFmtId="0" fontId="13" fillId="0" borderId="0" xfId="0" applyFont="1"/>
    <xf numFmtId="0" fontId="19" fillId="0" borderId="0" xfId="0" applyFont="1" applyAlignment="1">
      <alignment wrapText="1"/>
    </xf>
    <xf numFmtId="0" fontId="20" fillId="0" borderId="0" xfId="0" applyFont="1"/>
    <xf numFmtId="0" fontId="19" fillId="0" borderId="0" xfId="0" applyFont="1"/>
    <xf numFmtId="0" fontId="0" fillId="0" borderId="37" xfId="0" applyBorder="1"/>
    <xf numFmtId="0" fontId="0" fillId="0" borderId="11" xfId="0" applyBorder="1"/>
    <xf numFmtId="0" fontId="20" fillId="0" borderId="0" xfId="0" applyFont="1" applyAlignment="1">
      <alignment wrapText="1"/>
    </xf>
    <xf numFmtId="0" fontId="20" fillId="4" borderId="0" xfId="0" applyFont="1" applyFill="1" applyAlignment="1">
      <alignment wrapText="1"/>
    </xf>
    <xf numFmtId="0" fontId="20" fillId="4" borderId="0" xfId="0" applyFont="1" applyFill="1"/>
    <xf numFmtId="0" fontId="0" fillId="3" borderId="29" xfId="0" applyFill="1" applyBorder="1"/>
    <xf numFmtId="0" fontId="0" fillId="3" borderId="15" xfId="0" applyFill="1" applyBorder="1"/>
    <xf numFmtId="0" fontId="0" fillId="0" borderId="21" xfId="0" applyBorder="1"/>
    <xf numFmtId="0" fontId="0" fillId="0" borderId="0" xfId="0" applyAlignment="1">
      <alignment horizontal="center" vertical="center"/>
    </xf>
    <xf numFmtId="0" fontId="0" fillId="0" borderId="44" xfId="0" applyBorder="1"/>
    <xf numFmtId="0" fontId="0" fillId="0" borderId="44" xfId="0" applyBorder="1" applyAlignment="1">
      <alignment horizontal="center"/>
    </xf>
    <xf numFmtId="2" fontId="0" fillId="0" borderId="0" xfId="0" applyNumberFormat="1"/>
    <xf numFmtId="9" fontId="0" fillId="0" borderId="0" xfId="0" applyNumberFormat="1"/>
    <xf numFmtId="0" fontId="21" fillId="0" borderId="20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0" fillId="0" borderId="18" xfId="0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4" fillId="4" borderId="31" xfId="0" applyFont="1" applyFill="1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1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17" xfId="0" applyBorder="1" applyAlignment="1">
      <alignment horizontal="center"/>
    </xf>
    <xf numFmtId="0" fontId="0" fillId="0" borderId="1" xfId="0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0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37" xfId="0" applyBorder="1" applyAlignment="1">
      <alignment horizontal="left" vertical="top"/>
    </xf>
    <xf numFmtId="0" fontId="12" fillId="0" borderId="19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0" fillId="0" borderId="18" xfId="0" applyBorder="1" applyAlignment="1">
      <alignment horizontal="left" vertical="center"/>
    </xf>
    <xf numFmtId="0" fontId="0" fillId="2" borderId="18" xfId="0" applyFill="1" applyBorder="1" applyAlignment="1">
      <alignment horizontal="left" vertical="center"/>
    </xf>
    <xf numFmtId="0" fontId="0" fillId="4" borderId="18" xfId="0" applyFill="1" applyBorder="1" applyAlignment="1">
      <alignment horizontal="left" vertical="center"/>
    </xf>
    <xf numFmtId="0" fontId="2" fillId="0" borderId="35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0" xfId="0" applyAlignment="1"/>
    <xf numFmtId="0" fontId="0" fillId="0" borderId="1" xfId="0" applyBorder="1" applyAlignment="1"/>
    <xf numFmtId="0" fontId="0" fillId="0" borderId="18" xfId="0" applyBorder="1" applyAlignment="1"/>
    <xf numFmtId="0" fontId="0" fillId="0" borderId="33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12" xfId="0" applyBorder="1" applyAlignment="1"/>
    <xf numFmtId="0" fontId="0" fillId="0" borderId="40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6" xfId="0" applyBorder="1" applyAlignment="1"/>
    <xf numFmtId="0" fontId="0" fillId="0" borderId="32" xfId="0" applyBorder="1" applyAlignment="1"/>
    <xf numFmtId="0" fontId="10" fillId="0" borderId="18" xfId="0" applyFont="1" applyBorder="1" applyAlignment="1"/>
    <xf numFmtId="0" fontId="0" fillId="0" borderId="35" xfId="0" applyBorder="1" applyAlignment="1"/>
  </cellXfs>
  <cellStyles count="2">
    <cellStyle name="Normal" xfId="0" builtinId="0"/>
    <cellStyle name="Percent" xfId="1" builtinId="5"/>
  </cellStyles>
  <dxfs count="63"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color rgb="FF9C0006"/>
      </font>
      <fill>
        <patternFill patternType="solid">
          <bgColor theme="1"/>
        </patternFill>
      </fill>
    </dxf>
    <dxf>
      <font>
        <b/>
        <color rgb="FFFF0000"/>
      </font>
    </dxf>
    <dxf>
      <font>
        <color rgb="FF00B050"/>
      </font>
    </dxf>
    <dxf>
      <font>
        <b/>
        <color rgb="FFFF0000"/>
      </font>
    </dxf>
    <dxf>
      <font>
        <color rgb="FF00B050"/>
      </font>
    </dxf>
    <dxf>
      <font>
        <b/>
        <color rgb="FFFF0000"/>
      </font>
    </dxf>
    <dxf>
      <font>
        <color rgb="FF00B050"/>
      </font>
    </dxf>
    <dxf>
      <font>
        <b/>
        <color rgb="FFFF0000"/>
      </font>
    </dxf>
    <dxf>
      <font>
        <color rgb="FF00B050"/>
      </font>
    </dxf>
    <dxf>
      <font>
        <b/>
        <color rgb="FFFF0000"/>
      </font>
    </dxf>
    <dxf>
      <font>
        <color rgb="FF00B050"/>
      </font>
    </dxf>
    <dxf>
      <font>
        <b/>
        <color rgb="FFFF0000"/>
      </font>
    </dxf>
    <dxf>
      <font>
        <color rgb="FF00B050"/>
      </font>
    </dxf>
    <dxf>
      <font>
        <b/>
        <color rgb="FFFF0000"/>
      </font>
    </dxf>
    <dxf>
      <font>
        <color rgb="FF00B050"/>
      </font>
    </dxf>
    <dxf>
      <font>
        <b/>
        <color rgb="FFFF0000"/>
      </font>
    </dxf>
    <dxf>
      <font>
        <color rgb="FF00B050"/>
      </font>
    </dxf>
    <dxf>
      <font>
        <b/>
        <color rgb="FFFF0000"/>
      </font>
    </dxf>
    <dxf>
      <font>
        <color rgb="FF00B05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charset val="1"/>
        <scheme val="none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165" formatCode="yyyy\-mm\-dd\ h:mm:ss"/>
    </dxf>
    <dxf>
      <numFmt numFmtId="165" formatCode="yyyy\-mm\-dd\ h:mm:ss"/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charset val="1"/>
        <scheme val="none"/>
      </font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5</xdr:col>
      <xdr:colOff>1739900</xdr:colOff>
      <xdr:row>3</xdr:row>
      <xdr:rowOff>101600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59F13D0C-AA35-48A5-9973-8895224315B5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5bWdxbC1teS5zaGFyZXBvaW50LmNvbS86dTovZy9wZXJzb25hbC9hZG1pbl9mYnNlY3VyZV9ldS9JUURyY2lBZHFidFVRN0FfS1F4WEo0LUNBYW5EeXNseWkwankwOVMxYjdlYzNwOA&quot;}"/>
            </a:ext>
          </a:extLst>
        </xdr:cNvPr>
        <xdr:cNvSpPr/>
      </xdr:nvSpPr>
      <xdr:spPr>
        <a:xfrm>
          <a:off x="3133725" y="381000"/>
          <a:ext cx="17399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Run SyncRisposteExcel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323850</xdr:colOff>
      <xdr:row>4</xdr:row>
      <xdr:rowOff>180975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52500" cy="9239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276225</xdr:colOff>
      <xdr:row>0</xdr:row>
      <xdr:rowOff>0</xdr:rowOff>
    </xdr:from>
    <xdr:to>
      <xdr:col>9</xdr:col>
      <xdr:colOff>600075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DE8931-76F8-4EBD-B306-C61008FBA8CA}"/>
            </a:ext>
            <a:ext uri="{147F2762-F138-4A5C-976F-8EAC2B608ADB}">
              <a16:predDERef xmlns:a16="http://schemas.microsoft.com/office/drawing/2014/main" pre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72150" y="0"/>
          <a:ext cx="952500" cy="9239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323850</xdr:colOff>
      <xdr:row>4</xdr:row>
      <xdr:rowOff>161925</xdr:rowOff>
    </xdr:to>
    <xdr:pic>
      <xdr:nvPicPr>
        <xdr:cNvPr id="6" name="Immagine 3">
          <a:extLst>
            <a:ext uri="{FF2B5EF4-FFF2-40B4-BE49-F238E27FC236}">
              <a16:creationId xmlns:a16="http://schemas.microsoft.com/office/drawing/2014/main" id="{86670C51-4DEA-4D44-AE1D-8E70E583B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52500" cy="9239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276225</xdr:colOff>
      <xdr:row>0</xdr:row>
      <xdr:rowOff>0</xdr:rowOff>
    </xdr:from>
    <xdr:to>
      <xdr:col>9</xdr:col>
      <xdr:colOff>600075</xdr:colOff>
      <xdr:row>4</xdr:row>
      <xdr:rowOff>161925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771DF54D-0C5F-4A3E-BF91-FC11B40C1A0C}"/>
            </a:ext>
            <a:ext uri="{147F2762-F138-4A5C-976F-8EAC2B608ADB}">
              <a16:predDERef xmlns:a16="http://schemas.microsoft.com/office/drawing/2014/main" pred="{86670C51-4DEA-4D44-AE1D-8E70E583B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48350" y="0"/>
          <a:ext cx="952500" cy="9239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323850</xdr:colOff>
      <xdr:row>4</xdr:row>
      <xdr:rowOff>161925</xdr:rowOff>
    </xdr:to>
    <xdr:pic>
      <xdr:nvPicPr>
        <xdr:cNvPr id="2" name="Immagine 3">
          <a:extLst>
            <a:ext uri="{FF2B5EF4-FFF2-40B4-BE49-F238E27FC236}">
              <a16:creationId xmlns:a16="http://schemas.microsoft.com/office/drawing/2014/main" id="{8108C4EF-5CCE-4226-9B96-76AD48869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52500" cy="9239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276225</xdr:colOff>
      <xdr:row>0</xdr:row>
      <xdr:rowOff>0</xdr:rowOff>
    </xdr:from>
    <xdr:to>
      <xdr:col>9</xdr:col>
      <xdr:colOff>600075</xdr:colOff>
      <xdr:row>4</xdr:row>
      <xdr:rowOff>161925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96C8E902-C1C0-4991-898B-2E5D5606D867}"/>
            </a:ext>
            <a:ext uri="{147F2762-F138-4A5C-976F-8EAC2B608ADB}">
              <a16:predDERef xmlns:a16="http://schemas.microsoft.com/office/drawing/2014/main" pred="{8108C4EF-5CCE-4226-9B96-76AD48869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48350" y="0"/>
          <a:ext cx="952500" cy="9239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323850</xdr:colOff>
      <xdr:row>4</xdr:row>
      <xdr:rowOff>161925</xdr:rowOff>
    </xdr:to>
    <xdr:pic>
      <xdr:nvPicPr>
        <xdr:cNvPr id="2" name="Immagine 3">
          <a:extLst>
            <a:ext uri="{FF2B5EF4-FFF2-40B4-BE49-F238E27FC236}">
              <a16:creationId xmlns:a16="http://schemas.microsoft.com/office/drawing/2014/main" id="{E16DF627-A407-494C-9DD0-E172CD505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52500" cy="9239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276225</xdr:colOff>
      <xdr:row>0</xdr:row>
      <xdr:rowOff>0</xdr:rowOff>
    </xdr:from>
    <xdr:to>
      <xdr:col>9</xdr:col>
      <xdr:colOff>600075</xdr:colOff>
      <xdr:row>4</xdr:row>
      <xdr:rowOff>161925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462B0F47-D9DA-42D7-B36C-F61F745FD24B}"/>
            </a:ext>
            <a:ext uri="{147F2762-F138-4A5C-976F-8EAC2B608ADB}">
              <a16:predDERef xmlns:a16="http://schemas.microsoft.com/office/drawing/2014/main" pred="{E16DF627-A407-494C-9DD0-E172CD505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48350" y="0"/>
          <a:ext cx="952500" cy="9239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323850</xdr:colOff>
      <xdr:row>4</xdr:row>
      <xdr:rowOff>161925</xdr:rowOff>
    </xdr:to>
    <xdr:pic>
      <xdr:nvPicPr>
        <xdr:cNvPr id="2" name="Immagine 3">
          <a:extLst>
            <a:ext uri="{FF2B5EF4-FFF2-40B4-BE49-F238E27FC236}">
              <a16:creationId xmlns:a16="http://schemas.microsoft.com/office/drawing/2014/main" id="{9156F992-9831-4CF8-9B96-023EC391C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52500" cy="9239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276225</xdr:colOff>
      <xdr:row>0</xdr:row>
      <xdr:rowOff>0</xdr:rowOff>
    </xdr:from>
    <xdr:to>
      <xdr:col>9</xdr:col>
      <xdr:colOff>600075</xdr:colOff>
      <xdr:row>4</xdr:row>
      <xdr:rowOff>161925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F9B498C0-8B77-49F3-933B-21C2764EA28F}"/>
            </a:ext>
            <a:ext uri="{147F2762-F138-4A5C-976F-8EAC2B608ADB}">
              <a16:predDERef xmlns:a16="http://schemas.microsoft.com/office/drawing/2014/main" pred="{9156F992-9831-4CF8-9B96-023EC391C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48350" y="0"/>
          <a:ext cx="952500" cy="9239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ValutazioneAttiva" displayName="tblValutazioneAttiva" ref="A1:D2" totalsRowShown="0">
  <autoFilter ref="A1:D2" xr:uid="{00000000-0009-0000-0100-000001000000}"/>
  <tableColumns count="4">
    <tableColumn id="1" xr3:uid="{00000000-0010-0000-0000-000001000000}" name="SCENA"/>
    <tableColumn id="2" xr3:uid="{00000000-0010-0000-0000-000002000000}" name="SquadraCorrente"/>
    <tableColumn id="3" xr3:uid="{00000000-0010-0000-0000-000003000000}" name="TITOLO SCENA"/>
    <tableColumn id="4" xr3:uid="{00000000-0010-0000-0000-000004000000}" name="TimeStamp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C6923E-71FD-40C8-B66F-C3F4908B7350}" name="tblPrintCtrl" displayName="tblPrintCtrl" ref="A12:B13" totalsRowShown="0" headerRowDxfId="62" dataDxfId="61" headerRowBorderDxfId="59" tableBorderDxfId="60" totalsRowBorderDxfId="58">
  <autoFilter ref="A12:B13" xr:uid="{D8C6923E-71FD-40C8-B66F-C3F4908B7350}"/>
  <tableColumns count="2">
    <tableColumn id="2" xr3:uid="{A292D1B4-FE11-45B0-B9DA-6E83C21F084E}" name="Chiave" dataDxfId="57"/>
    <tableColumn id="1" xr3:uid="{09BFFA50-455B-4436-9384-19EF690CF139}" name="Valore" dataDxfId="5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A4573A1-4FF7-4090-918A-34B05589304C}" name="tblScenaExportScheda" displayName="tblScenaExportScheda" ref="A20:F25" totalsRowShown="0">
  <autoFilter ref="A20:F25" xr:uid="{2A4573A1-4FF7-4090-918A-34B05589304C}"/>
  <tableColumns count="6">
    <tableColumn id="1" xr3:uid="{BDB84279-59CC-4EC8-A479-ED0325B754C9}" name="ScenaCodice">
      <calculatedColumnFormula>INDEX(tblValutazioneAttiva[[#All],[SCENA]],2)</calculatedColumnFormula>
    </tableColumn>
    <tableColumn id="2" xr3:uid="{B083B742-2D32-4DCF-AE8B-162D7DD0E814}" name="SlotScheda">
      <calculatedColumnFormula>_xlfn.XLOOKUP(tblScenaExportScheda[[#This Row],[TipoScheda]],MAP_SCENA!B:B,MAP_SCENA!A:A)</calculatedColumnFormula>
    </tableColumn>
    <tableColumn id="3" xr3:uid="{C09B95DB-D6F1-4963-B7FA-6B236B4F57FB}" name="TipoScheda"/>
    <tableColumn id="4" xr3:uid="{77951819-6784-4E26-9AAF-B3587D3EA7C3}" name="TotItem">
      <calculatedColumnFormula>COUNTIF(tblItems[TipoScheda],
  tblScenaExportScheda[[#This Row],[TipoScheda]])</calculatedColumnFormula>
    </tableColumn>
    <tableColumn id="5" xr3:uid="{087A4616-ECB4-4722-8FBA-DE8BC5BE26A5}" name="MaxSchede">
      <calculatedColumnFormula>SUMIFS(tblItems[TipoValutazione],
  tblItems[TipoScheda], tblScenaExportScheda[[#This Row],[TipoScheda]])</calculatedColumnFormula>
    </tableColumn>
    <tableColumn id="6" xr3:uid="{80848552-A36D-4B84-AC74-43052078A078}" name="MaxSep">
      <calculatedColumnFormula>SUMIFS(tblItems[TipoValutazione],
  tblItems[TipoScheda], tblScenaExportScheda[[#This Row],[TipoScheda]],
  tblItems[PesoMax], TRUE)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C427472-6D67-4CA3-81C1-E8CB7DB1A4AA}" name="tblScene_Totali_local" displayName="tblScene_Totali_local" ref="I20:L21" totalsRowShown="0">
  <autoFilter ref="I20:L21" xr:uid="{1C427472-6D67-4CA3-81C1-E8CB7DB1A4AA}"/>
  <tableColumns count="4">
    <tableColumn id="1" xr3:uid="{4378DD7E-6A38-4816-998B-CC0B0860B961}" name="ScenaCodice"/>
    <tableColumn id="2" xr3:uid="{48EB61CC-1621-4CC3-859A-3327479A67F7}" name="MaxTotScena"/>
    <tableColumn id="3" xr3:uid="{A2F85C4F-BF4C-4C84-90D9-4892B9DF2CA3}" name="MaxToSep"/>
    <tableColumn id="4" xr3:uid="{345BE0F8-2FCC-459E-8609-FC25290A1609}" name="NumeroSchede"/>
  </tableColumns>
  <tableStyleInfo name="TableStyleLight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1C9483-BF95-4693-9D22-91DE38B7D98D}" name="tblValutazioni" displayName="tblValutazioni" ref="A1:F5" totalsRowShown="0">
  <autoFilter ref="A1:F5" xr:uid="{2D1C9483-BF95-4693-9D22-91DE38B7D98D}"/>
  <tableColumns count="6">
    <tableColumn id="1" xr3:uid="{183D68A1-4F9F-4969-82DE-44B91F4B485B}" name="TipoValutazione"/>
    <tableColumn id="2" xr3:uid="{3BF6820B-0E06-45C6-98F5-55BF0D01255F}" name="MB"/>
    <tableColumn id="3" xr3:uid="{5DD18FDC-FC83-4DB3-9C65-A0693BA4D1D0}" name="BE"/>
    <tableColumn id="4" xr3:uid="{8F31E2D0-93EA-4B64-A276-4FECAAB70207}" name="SU"/>
    <tableColumn id="5" xr3:uid="{D5DD030D-B5CA-42BC-87CF-C9957D530904}" name="IN"/>
    <tableColumn id="6" xr3:uid="{5FF57764-3012-4A71-9B66-C9DF7885C073}" name="N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76951C-6DDD-433F-B26C-59349CC77A99}" name="tblItems" displayName="tblItems" ref="A1:Q132" totalsRowShown="0">
  <autoFilter ref="A1:Q132" xr:uid="{5176951C-6DDD-433F-B26C-59349CC77A99}"/>
  <tableColumns count="17">
    <tableColumn id="1" xr3:uid="{FF874B03-BB3A-45D4-B458-3A0C1852F74E}" name="TipoScheda"/>
    <tableColumn id="2" xr3:uid="{2D622D4D-6BA4-4E41-ACA0-AF85DA42C443}" name="Ordine"/>
    <tableColumn id="3" xr3:uid="{AF075A38-3FE8-4738-94CB-8AEFC7278F52}" name="ItemKey"/>
    <tableColumn id="4" xr3:uid="{412622F5-A80E-48CD-8D05-846268606B8E}" name="Sezione"/>
    <tableColumn id="5" xr3:uid="{14F334CE-98C1-4840-B9EC-3EC079DD44A0}" name="TestoItem"/>
    <tableColumn id="6" xr3:uid="{933F3CF5-96A1-4CC0-947D-E4E6101E4CC8}" name="TipoValutazione"/>
    <tableColumn id="7" xr3:uid="{9FFC037A-5EB0-4D15-A423-00CA769EAC5F}" name="PesoMax"/>
    <tableColumn id="8" xr3:uid="{FC5382CA-F1C5-42A4-A4E6-C994F261969C}" name="IsSEP"/>
    <tableColumn id="17" xr3:uid="{8C31B0DB-3298-457B-8BB0-A42AFC8068B3}" name="Has_MB"/>
    <tableColumn id="9" xr3:uid="{7573F5B9-B565-4482-9E4A-28F6192EBF39}" name="Has_B"/>
    <tableColumn id="10" xr3:uid="{C1B7EF70-7422-4E8E-8EC7-DF497FC967AA}" name="Has_S"/>
    <tableColumn id="11" xr3:uid="{6AE748B4-7945-43BD-9FAE-034A052C2AFE}" name="Has_I"/>
    <tableColumn id="12" xr3:uid="{29FD3AF6-4160-40E9-AA35-CDC31B1D27D5}" name="Has_NE"/>
    <tableColumn id="13" xr3:uid="{9408346A-C9C1-4081-9F85-C0AEA9C9E421}" name="ScenaCodice"/>
    <tableColumn id="14" xr3:uid="{C660810C-5C8A-4262-B4DC-0590F1F552CB}" name="IsBLS"/>
    <tableColumn id="15" xr3:uid="{0E404F69-4CD2-4E20-AA38-C6C2F0472EFD}" name="GaraCodice"/>
    <tableColumn id="16" xr3:uid="{E990AF6D-C625-40EF-ADA7-B0B035F53ACC}" name="SlotScheda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isposte" displayName="tblRisposte" ref="A1:J739" totalsRowShown="0">
  <autoFilter ref="A1:J739" xr:uid="{00000000-0009-0000-0100-000003000000}"/>
  <tableColumns count="10">
    <tableColumn id="1" xr3:uid="{00000000-0010-0000-0200-000001000000}" name="ItemKey"/>
    <tableColumn id="4" xr3:uid="{8650813C-C74B-4EB3-BCCA-C4C760543BB8}" name="idValutazione"/>
    <tableColumn id="5" xr3:uid="{885F98A1-110F-4018-A4C9-3D975BDDB710}" name="Squadra"/>
    <tableColumn id="2" xr3:uid="{00000000-0010-0000-0200-000002000000}" name="Valore"/>
    <tableColumn id="6" xr3:uid="{59526381-0136-45C6-A0CD-273AA78CD713}" name="Timestamp" dataDxfId="54" totalsRowDxfId="55"/>
    <tableColumn id="7" xr3:uid="{325E3C3D-671D-41AA-9E01-DFDC423C1E2A}" name="Giudice"/>
    <tableColumn id="8" xr3:uid="{EEEA754D-58CA-461E-A65C-EE8EDA5F675B}" name="TipoScheda" dataDxfId="53"/>
    <tableColumn id="9" xr3:uid="{5A4D1797-5182-4F3E-AF08-718F7730DC34}" name="ISSep" dataDxfId="52"/>
    <tableColumn id="10" xr3:uid="{B1927451-67D9-4F56-BB1C-5D1CD5C8A9AF}" name="SlotScheda" dataDxfId="51"/>
    <tableColumn id="3" xr3:uid="{DD688156-E054-4F40-93E2-26BB740F242E}" name="__PowerAppsId__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462AD87-1F44-49A5-8B19-D2D10155D102}" name="tblSquadre" displayName="tblSquadre" ref="A1:B8" totalsRowShown="0">
  <autoFilter ref="A1:B8" xr:uid="{6462AD87-1F44-49A5-8B19-D2D10155D102}"/>
  <tableColumns count="2">
    <tableColumn id="1" xr3:uid="{10B8D0C7-E5F0-4ECB-958B-356F7E64243A}" name="SquadraID"/>
    <tableColumn id="2" xr3:uid="{B10076AE-5A72-4BD7-9AC2-1C7ECB44B929}" name="Squadra_Nome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2CE4FBB-B753-47BE-A07F-781054F12AED}" name="tblMapSchede" displayName="tblMapSchede" ref="A1:E7" totalsRowShown="0" headerRowDxfId="50">
  <autoFilter ref="A1:E7" xr:uid="{C2CE4FBB-B753-47BE-A07F-781054F12AED}"/>
  <tableColumns count="5">
    <tableColumn id="1" xr3:uid="{5A9388DF-7379-4D32-92DC-EC7FFDEC8041}" name="A(SlotScheda)"/>
    <tableColumn id="2" xr3:uid="{95BABE03-F86D-4C12-B5DF-E6B86C3719BB}" name="B (TipoScheda)"/>
    <tableColumn id="3" xr3:uid="{028999D9-D122-4E14-A812-866B538FCD4F}" name="SIGLA"/>
    <tableColumn id="4" xr3:uid="{0097166F-F9C6-4EEB-B3AD-9BCC44429A37}" name="CodiceColonna"/>
    <tableColumn id="5" xr3:uid="{BAF9DFB6-4381-445C-A79B-FCB7687807DC}" name="IsBLS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35E29CC-051A-4F31-BCD0-620C5B2E1096}" name="tblClassificaNorm" displayName="tblClassificaNorm" ref="A1:Q7" totalsRowShown="0">
  <autoFilter ref="A1:Q7" xr:uid="{335E29CC-051A-4F31-BCD0-620C5B2E1096}"/>
  <tableColumns count="17">
    <tableColumn id="1" xr3:uid="{3FF7A247-4D3F-421C-9C19-5E0DC5326DA8}" name="SquadraID"/>
    <tableColumn id="2" xr3:uid="{A94A63B3-52C0-4118-990D-7D08E61F3DDA}" name="Squadra_Nome"/>
    <tableColumn id="3" xr3:uid="{673DDAA0-98C5-4EC5-8B23-8F0BEB345977}" name="S0">
      <calculatedColumnFormula>SUMIFS(APP_DATA!$D:$D,APP_DATA!$C:$C,tblClassificaNorm[[#This Row],[SquadraID]],APP_DATA!$I:$I,0)</calculatedColumnFormula>
    </tableColumn>
    <tableColumn id="4" xr3:uid="{F95E75F8-57AA-4639-A042-D5A4CF89F91D}" name="S1">
      <calculatedColumnFormula>SUMIFS(APP_DATA!$D:$D,APP_DATA!$C:$C,tblClassificaNorm[[#This Row],[SquadraID]],APP_DATA!$I:$I,1)</calculatedColumnFormula>
    </tableColumn>
    <tableColumn id="5" xr3:uid="{8A6F13E5-AD47-4BAC-9CBD-CC7C6ECF8CAA}" name="S2">
      <calculatedColumnFormula>SUMIFS(APP_DATA!$D:$D,APP_DATA!$C:$C,tblClassificaNorm[[#This Row],[SquadraID]],APP_DATA!$I:$I,2)</calculatedColumnFormula>
    </tableColumn>
    <tableColumn id="6" xr3:uid="{E0B1350C-5A02-4946-B97B-C5C9267EB9D9}" name="S3">
      <calculatedColumnFormula>SUMIFS(APP_DATA!$D:$D,APP_DATA!$C:$C,tblClassificaNorm[[#This Row],[SquadraID]],APP_DATA!$I:$I,3)</calculatedColumnFormula>
    </tableColumn>
    <tableColumn id="7" xr3:uid="{B4D412DC-FA2F-4033-A749-F70EDC24AA56}" name="S4">
      <calculatedColumnFormula>SUMIFS(APP_DATA!$D:$D,APP_DATA!$C:$C,tblClassificaNorm[[#This Row],[SquadraID]],APP_DATA!$I:$I,4)</calculatedColumnFormula>
    </tableColumn>
    <tableColumn id="8" xr3:uid="{3DCF01CC-D610-4760-A9F8-6F168CDA5A2C}" name="S5">
      <calculatedColumnFormula>SUMIFS(APP_DATA!$D:$D,APP_DATA!$C:$C,tblClassificaNorm[[#This Row],[SquadraID]],APP_DATA!$I:$I,5)</calculatedColumnFormula>
    </tableColumn>
    <tableColumn id="9" xr3:uid="{A3E79D2A-F43F-4721-8801-04B7354DCACB}" name="S6">
      <calculatedColumnFormula>SUMIFS(APP_DATA!$D:$D,APP_DATA!$C:$C,tblClassificaNorm[[#This Row],[SquadraID]],APP_DATA!$I:$I,6)</calculatedColumnFormula>
    </tableColumn>
    <tableColumn id="10" xr3:uid="{623503A6-E136-40FD-8B78-DE5B3A66A5F5}" name="Totale">
      <calculatedColumnFormula>SUMIF(APP_DATA!$C:$C,tblClassificaNorm[[#This Row],[SquadraID]],APP_DATA!$D:$D)</calculatedColumnFormula>
    </tableColumn>
    <tableColumn id="11" xr3:uid="{415C5E37-FFB8-4B8A-ACAD-90DA9185D7FB}" name="SEP" dataDxfId="49">
      <calculatedColumnFormula>SUMIFS(APP_DATA!$D:$D,APP_DATA!$C:$C,tblClassificaNorm[[#This Row],[SquadraID]],APP_DATA!$H:$H,TRUE)</calculatedColumnFormula>
    </tableColumn>
    <tableColumn id="12" xr3:uid="{ADCF4250-5A8D-4030-9AB5-A4B52E95BCB5}" name="RankTOT">
      <calculatedColumnFormula>_xlfn.RANK.EQ(tblClassificaNorm[[#This Row],[Totale]],tblClassificaNorm[Totale],0)</calculatedColumnFormula>
    </tableColumn>
    <tableColumn id="13" xr3:uid="{25C629FE-E558-4F74-8801-B635B697984F}" name="RankSEP">
      <calculatedColumnFormula>_xlfn.RANK.EQ(tblClassificaNorm[[#This Row],[SEP]],tblClassificaNorm[SEP],0)</calculatedColumnFormula>
    </tableColumn>
    <tableColumn id="14" xr3:uid="{AA3F7E11-E118-4C7B-974F-76D763149498}" name="MaxTotScena" dataDxfId="48">
      <calculatedColumnFormula>SUM(tblScenaExportScheda[MaxSchede])</calculatedColumnFormula>
    </tableColumn>
    <tableColumn id="15" xr3:uid="{98647F09-574F-4A1A-917A-7641B98989FB}" name="Percentuale" dataDxfId="47">
      <calculatedColumnFormula>IF(tblClassificaNorm[[#This Row],[MaxTotScena]]=0,
  0,
  tblClassificaNorm[[#This Row],[Totale]]/tblClassificaNorm[[#This Row],[MaxTotScena]])</calculatedColumnFormula>
    </tableColumn>
    <tableColumn id="16" xr3:uid="{ECE594F1-A01F-43E0-A52C-ADF0CE6ABF3A}" name="MaxToSep" dataDxfId="46">
      <calculatedColumnFormula>SUM(tblScenaExportScheda[MaxSep])</calculatedColumnFormula>
    </tableColumn>
    <tableColumn id="17" xr3:uid="{DAE880AA-6D91-444F-AE6D-7265C2448397}" name="PercentualeSEP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E1C6478-A6A3-43E8-B164-C959658C3F4C}" name="DATI_SCENA15" displayName="DATI_SCENA15" ref="A1:C2" totalsRowShown="0">
  <autoFilter ref="A1:C2" xr:uid="{00000000-0009-0000-0100-000004000000}"/>
  <tableColumns count="3">
    <tableColumn id="1" xr3:uid="{A309EAAF-1AF9-4EB7-81F2-145961763029}" name="SCENA"/>
    <tableColumn id="2" xr3:uid="{84B10F62-F88D-472B-BDBB-4A861BF4A866}" name="SQUADRA">
      <calculatedColumnFormula array="1">SquadraAttiva</calculatedColumnFormula>
    </tableColumn>
    <tableColumn id="3" xr3:uid="{CDE40D52-3F6D-42A8-8B1E-40BDD47B3E86}" name="TITOLO SCENA">
      <calculatedColumnFormula array="1">TitoloScenaAttivo</calculatedColumnFormula>
    </tableColumn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90C80EC-D007-490B-848E-7CE9D48E29E9}" name="Punteggi_GPSER2516" displayName="Punteggi_GPSER2516" ref="I18:K19" totalsRowShown="0">
  <autoFilter ref="I18:K19" xr:uid="{00000000-0009-0000-0100-000005000000}"/>
  <tableColumns count="3">
    <tableColumn id="1" xr3:uid="{BF7A38FA-4B31-4D60-B3CC-D63218AFB8B8}" name="Punteggio Massimo scena">
      <calculatedColumnFormula>SUM(I10:I14)</calculatedColumnFormula>
    </tableColumn>
    <tableColumn id="2" xr3:uid="{A07CD87E-6676-4F47-AF37-115CBC4B5CBC}" name="Punteggio realizzato">
      <calculatedColumnFormula>SUM(J10:J14)</calculatedColumnFormula>
    </tableColumn>
    <tableColumn id="3" xr3:uid="{99CE35B5-7E97-4A3E-91C2-1D9C1DC3A0C9}" name="Percentuale" dataDxfId="45">
      <calculatedColumnFormula>J19/I19</calculatedColumnFormula>
    </tableColumn>
  </tableColumns>
  <tableStyleInfo name="TableStyleLight1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1000144-F96E-4FC1-8382-8DB45EB5FC3C}" name="Punteggi_SEP17" displayName="Punteggi_SEP17" ref="I21:K22" totalsRowShown="0">
  <autoFilter ref="I21:K22" xr:uid="{00000000-0009-0000-0100-000006000000}"/>
  <tableColumns count="3">
    <tableColumn id="1" xr3:uid="{109FAFD4-A1EE-4A79-9024-1544E45F5FAD}" name="SEP Massimo">
      <calculatedColumnFormula>SUM(L10:L14)</calculatedColumnFormula>
    </tableColumn>
    <tableColumn id="2" xr3:uid="{EEF1F15D-EDCA-4369-BD29-D160B2A0607E}" name="Sep Realizzato">
      <calculatedColumnFormula>SUM(M10:M14)</calculatedColumnFormula>
    </tableColumn>
    <tableColumn id="3" xr3:uid="{0F4B4AA5-2DB0-42F6-872F-72E770257F12}" name="Percentuale" dataDxfId="44">
      <calculatedColumnFormula>J22/I22</calculatedColumnFormula>
    </tableColumn>
  </tableColumns>
  <tableStyleInfo name="TableStyleLight1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83FD9B6-EB5A-46A1-8AB4-8ED72266811E}" name="tblBLSD18" displayName="tblBLSD18" ref="I24:K25" totalsRowShown="0">
  <autoFilter ref="I24:K25" xr:uid="{00000000-0009-0000-0100-000007000000}"/>
  <tableColumns count="3">
    <tableColumn id="1" xr3:uid="{D3F59BF3-62A0-4F60-BB16-D55D8D02AE00}" name="BLSD Massimo"/>
    <tableColumn id="2" xr3:uid="{B899F52E-6192-4509-85C6-6384AA3AA9D9}" name="BLSD Realizzato"/>
    <tableColumn id="3" xr3:uid="{790C71F6-EE4C-4294-ABEB-6B15D198C673}" name="Percentuale">
      <calculatedColumnFormula>IF(I25=0,0,J25/I25)</calculatedColumnFormula>
    </tableColumn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D65DB80-C58B-4727-BF96-5F5315682A1A}" name="tblLeader19" displayName="tblLeader19" ref="I27:K28" totalsRowShown="0">
  <autoFilter ref="I27:K28" xr:uid="{00000000-0009-0000-0100-000008000000}"/>
  <tableColumns count="3">
    <tableColumn id="1" xr3:uid="{F1F77EED-C2AC-4B89-BAB3-442439BE2DBC}" name="Leader Massimo">
      <calculatedColumnFormula>'Calcolo Master'!AA11</calculatedColumnFormula>
    </tableColumn>
    <tableColumn id="2" xr3:uid="{F89AA1B8-59C0-4782-AE58-EBFE416F86F1}" name="Leader Realizzato">
      <calculatedColumnFormula>'Calcolo Master'!J43</calculatedColumnFormula>
    </tableColumn>
    <tableColumn id="3" xr3:uid="{6F2FE91E-A69B-4BC0-BD34-1832B36AEB91}" name="Percentuale">
      <calculatedColumnFormula>tblLeader19[[#This Row],[Leader Realizzato]]/tblLeader19[[#This Row],[Leader Massimo]]</calculatedColumnFormula>
    </tableColumn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FF9176-F0A6-4C11-8612-AB43A6A16AD5}" name="tblSchede" displayName="tblSchede" ref="A5:I11" totalsRowShown="0" headerRowDxfId="43">
  <autoFilter ref="A5:I11" xr:uid="{0EFF9176-F0A6-4C11-8612-AB43A6A16AD5}"/>
  <tableColumns count="9">
    <tableColumn id="3" xr3:uid="{C2CB9E26-CF7C-453A-90B8-6E7BAE497111}" name="Ruolo"/>
    <tableColumn id="4" xr3:uid="{B1975E5D-0A92-4B78-9E98-A5DA95B57346}" name="SimulatoreCodice"/>
    <tableColumn id="5" xr3:uid="{F7343BF2-C84B-4ED5-BBB4-9ECE65EAC58F}" name="Patologia"/>
    <tableColumn id="6" xr3:uid="{182B3F62-BFB4-426F-8040-8D9170468814}" name="FR"/>
    <tableColumn id="7" xr3:uid="{F934A008-799D-4B7A-9802-EA7EE63CFF05}" name="FC"/>
    <tableColumn id="8" xr3:uid="{9A184875-84FC-4A80-BB01-BA2B4E2177C4}" name="Coscienza"/>
    <tableColumn id="9" xr3:uid="{99067043-A4BB-47C2-9B7A-C080938F3068}" name="Cute"/>
    <tableColumn id="10" xr3:uid="{15FEA263-927D-4600-81AE-51C60E1BF0AE}" name="Giudice"/>
    <tableColumn id="12" xr3:uid="{79811142-DAFC-422F-A2D3-CF9DD92AA8D1}" name="Attiv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opLeftCell="F1" workbookViewId="0">
      <selection activeCell="B28" sqref="B28"/>
    </sheetView>
  </sheetViews>
  <sheetFormatPr defaultRowHeight="15"/>
  <cols>
    <col min="1" max="1" width="18.28515625" bestFit="1" customWidth="1"/>
    <col min="2" max="3" width="23.28515625" bestFit="1" customWidth="1"/>
    <col min="4" max="4" width="13.5703125" bestFit="1" customWidth="1"/>
    <col min="5" max="8" width="11.42578125" bestFit="1" customWidth="1"/>
    <col min="9" max="9" width="14.5703125" bestFit="1" customWidth="1"/>
    <col min="10" max="10" width="15.5703125" bestFit="1" customWidth="1"/>
    <col min="11" max="11" width="12.85546875" bestFit="1" customWidth="1"/>
    <col min="12" max="12" width="17.28515625" bestFit="1" customWidth="1"/>
  </cols>
  <sheetData>
    <row r="1" spans="1:4">
      <c r="A1" s="19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</v>
      </c>
      <c r="C2" t="s">
        <v>5</v>
      </c>
    </row>
    <row r="8" spans="1:4">
      <c r="A8" s="71" t="s">
        <v>6</v>
      </c>
      <c r="B8" s="33">
        <f>INDEX(tblValutazioneAttiva[[#All],[SquadraCorrente]],2)</f>
        <v>3</v>
      </c>
    </row>
    <row r="9" spans="1:4">
      <c r="A9" s="32" t="s">
        <v>7</v>
      </c>
      <c r="B9" s="33" t="str">
        <f>INDEX(tblValutazioneAttiva[[#All],[SCENA]],2)</f>
        <v>A</v>
      </c>
    </row>
    <row r="10" spans="1:4">
      <c r="A10" s="32" t="s">
        <v>8</v>
      </c>
      <c r="B10" s="33" t="str">
        <f>INDEX(tblValutazioneAttiva[[#All],[TITOLO SCENA]],2)</f>
        <v>Una Scuola Stupefacente</v>
      </c>
    </row>
    <row r="11" spans="1:4">
      <c r="A11" s="32" t="s">
        <v>9</v>
      </c>
      <c r="B11" t="s">
        <v>10</v>
      </c>
    </row>
    <row r="12" spans="1:4" ht="16.5">
      <c r="A12" s="74" t="s">
        <v>11</v>
      </c>
      <c r="B12" s="74" t="s">
        <v>12</v>
      </c>
    </row>
    <row r="13" spans="1:4">
      <c r="A13" s="73" t="s">
        <v>13</v>
      </c>
      <c r="B13" s="75" t="s">
        <v>14</v>
      </c>
    </row>
    <row r="14" spans="1:4" ht="16.5">
      <c r="A14" s="72"/>
      <c r="B14" s="73"/>
    </row>
    <row r="20" spans="1:12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I20" t="s">
        <v>15</v>
      </c>
      <c r="J20" t="s">
        <v>21</v>
      </c>
      <c r="K20" t="s">
        <v>22</v>
      </c>
      <c r="L20" t="s">
        <v>23</v>
      </c>
    </row>
    <row r="21" spans="1:12">
      <c r="A21" t="str">
        <f>INDEX(tblValutazioneAttiva[[#All],[SCENA]],2)</f>
        <v>A</v>
      </c>
      <c r="B21">
        <f>_xlfn.XLOOKUP(tblScenaExportScheda[[#This Row],[TipoScheda]],MAP_SCENA!B:B,MAP_SCENA!A:A)</f>
        <v>0</v>
      </c>
      <c r="C21" t="s">
        <v>24</v>
      </c>
      <c r="D21">
        <f>COUNTIF(tblItems[TipoScheda],
  tblScenaExportScheda[[#This Row],[TipoScheda]])</f>
        <v>32</v>
      </c>
      <c r="E21">
        <f>SUMIFS(tblItems[TipoValutazione],
  tblItems[TipoScheda], tblScenaExportScheda[[#This Row],[TipoScheda]])</f>
        <v>0</v>
      </c>
      <c r="F21">
        <f>SUMIFS(tblItems[TipoValutazione],
  tblItems[TipoScheda], tblScenaExportScheda[[#This Row],[TipoScheda]],
  tblItems[PesoMax], TRUE)</f>
        <v>0</v>
      </c>
      <c r="H21" s="91"/>
    </row>
    <row r="22" spans="1:12">
      <c r="A22" t="str">
        <f>INDEX(tblValutazioneAttiva[[#All],[SCENA]],2)</f>
        <v>A</v>
      </c>
      <c r="B22">
        <f>_xlfn.XLOOKUP(tblScenaExportScheda[[#This Row],[TipoScheda]],MAP_SCENA!B:B,MAP_SCENA!A:A)</f>
        <v>1</v>
      </c>
      <c r="C22" t="s">
        <v>25</v>
      </c>
      <c r="D22">
        <f>COUNTIF(tblItems[TipoScheda],
  tblScenaExportScheda[[#This Row],[TipoScheda]])</f>
        <v>25</v>
      </c>
      <c r="E22">
        <f>SUMIFS(tblItems[TipoValutazione],
  tblItems[TipoScheda], tblScenaExportScheda[[#This Row],[TipoScheda]])</f>
        <v>0</v>
      </c>
      <c r="F22">
        <f>SUMIFS(tblItems[TipoValutazione],
  tblItems[TipoScheda], tblScenaExportScheda[[#This Row],[TipoScheda]],
  tblItems[PesoMax], TRUE)</f>
        <v>0</v>
      </c>
      <c r="H22" s="91"/>
    </row>
    <row r="23" spans="1:12">
      <c r="A23" t="str">
        <f>INDEX(tblValutazioneAttiva[[#All],[SCENA]],2)</f>
        <v>A</v>
      </c>
      <c r="B23">
        <f>_xlfn.XLOOKUP(tblScenaExportScheda[[#This Row],[TipoScheda]],MAP_SCENA!B:B,MAP_SCENA!A:A)</f>
        <v>2</v>
      </c>
      <c r="C23" t="s">
        <v>26</v>
      </c>
      <c r="D23">
        <f>COUNTIF(tblItems[TipoScheda],
  tblScenaExportScheda[[#This Row],[TipoScheda]])</f>
        <v>24</v>
      </c>
      <c r="E23">
        <f>SUMIFS(tblItems[TipoValutazione],
  tblItems[TipoScheda], tblScenaExportScheda[[#This Row],[TipoScheda]])</f>
        <v>0</v>
      </c>
      <c r="F23">
        <f>SUMIFS(tblItems[TipoValutazione],
  tblItems[TipoScheda], tblScenaExportScheda[[#This Row],[TipoScheda]],
  tblItems[PesoMax], TRUE)</f>
        <v>0</v>
      </c>
      <c r="H23" s="91"/>
    </row>
    <row r="24" spans="1:12">
      <c r="A24" t="str">
        <f>INDEX(tblValutazioneAttiva[[#All],[SCENA]],2)</f>
        <v>A</v>
      </c>
      <c r="B24">
        <f>_xlfn.XLOOKUP(tblScenaExportScheda[[#This Row],[TipoScheda]],MAP_SCENA!B:B,MAP_SCENA!A:A)</f>
        <v>3</v>
      </c>
      <c r="C24" t="s">
        <v>27</v>
      </c>
      <c r="D24">
        <f>COUNTIF(tblItems[TipoScheda],
  tblScenaExportScheda[[#This Row],[TipoScheda]])</f>
        <v>26</v>
      </c>
      <c r="E24">
        <f>SUMIFS(tblItems[TipoValutazione],
  tblItems[TipoScheda], tblScenaExportScheda[[#This Row],[TipoScheda]])</f>
        <v>0</v>
      </c>
      <c r="F24">
        <f>SUMIFS(tblItems[TipoValutazione],
  tblItems[TipoScheda], tblScenaExportScheda[[#This Row],[TipoScheda]],
  tblItems[PesoMax], TRUE)</f>
        <v>0</v>
      </c>
      <c r="H24" s="91"/>
    </row>
    <row r="25" spans="1:12">
      <c r="A25" t="str">
        <f>INDEX(tblValutazioneAttiva[[#All],[SCENA]],2)</f>
        <v>A</v>
      </c>
      <c r="B25">
        <f>_xlfn.XLOOKUP(tblScenaExportScheda[[#This Row],[TipoScheda]],MAP_SCENA!B:B,MAP_SCENA!A:A)</f>
        <v>4</v>
      </c>
      <c r="C25" t="s">
        <v>28</v>
      </c>
      <c r="D25">
        <f>COUNTIF(tblItems[TipoScheda],
  tblScenaExportScheda[[#This Row],[TipoScheda]])</f>
        <v>24</v>
      </c>
      <c r="E25">
        <f>SUMIFS(tblItems[TipoValutazione],
  tblItems[TipoScheda], tblScenaExportScheda[[#This Row],[TipoScheda]])</f>
        <v>0</v>
      </c>
      <c r="F25">
        <f>SUMIFS(tblItems[TipoValutazione],
  tblItems[TipoScheda], tblScenaExportScheda[[#This Row],[TipoScheda]],
  tblItems[PesoMax], TRUE)</f>
        <v>0</v>
      </c>
      <c r="H25" s="91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88A3-4A21-40B8-B351-ACE70CA7BD27}">
  <dimension ref="A1:F5"/>
  <sheetViews>
    <sheetView workbookViewId="0">
      <selection activeCell="F18" sqref="F18"/>
    </sheetView>
  </sheetViews>
  <sheetFormatPr defaultRowHeight="15"/>
  <cols>
    <col min="1" max="1" width="18" bestFit="1" customWidth="1"/>
    <col min="2" max="2" width="6.5703125" bestFit="1" customWidth="1"/>
    <col min="3" max="3" width="5.7109375" bestFit="1" customWidth="1"/>
    <col min="4" max="4" width="5.85546875" bestFit="1" customWidth="1"/>
    <col min="5" max="5" width="5.42578125" bestFit="1" customWidth="1"/>
  </cols>
  <sheetData>
    <row r="1" spans="1:6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>
      <c r="A2" t="s">
        <v>35</v>
      </c>
      <c r="B2">
        <v>5</v>
      </c>
      <c r="C2">
        <v>4</v>
      </c>
      <c r="D2">
        <v>2</v>
      </c>
      <c r="E2">
        <v>1</v>
      </c>
      <c r="F2">
        <v>0</v>
      </c>
    </row>
    <row r="3" spans="1:6">
      <c r="A3" t="s">
        <v>36</v>
      </c>
      <c r="B3">
        <v>3</v>
      </c>
      <c r="D3">
        <v>1</v>
      </c>
      <c r="F3">
        <v>0</v>
      </c>
    </row>
    <row r="4" spans="1:6">
      <c r="A4" t="s">
        <v>37</v>
      </c>
      <c r="B4">
        <v>10</v>
      </c>
      <c r="C4">
        <v>8</v>
      </c>
      <c r="D4">
        <v>4</v>
      </c>
      <c r="E4">
        <v>1</v>
      </c>
      <c r="F4">
        <v>0</v>
      </c>
    </row>
    <row r="5" spans="1:6">
      <c r="A5" t="s">
        <v>38</v>
      </c>
      <c r="B5">
        <v>0</v>
      </c>
      <c r="F5">
        <v>-50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2"/>
  <sheetViews>
    <sheetView topLeftCell="F108" workbookViewId="0">
      <selection activeCell="Z22" sqref="Z22"/>
    </sheetView>
  </sheetViews>
  <sheetFormatPr defaultRowHeight="15"/>
  <cols>
    <col min="1" max="1" width="13.7109375" bestFit="1" customWidth="1"/>
    <col min="2" max="2" width="9.5703125" bestFit="1" customWidth="1"/>
    <col min="3" max="3" width="51.5703125" bestFit="1" customWidth="1"/>
    <col min="4" max="4" width="35.42578125" bestFit="1" customWidth="1"/>
    <col min="5" max="5" width="57.7109375" bestFit="1" customWidth="1"/>
    <col min="6" max="6" width="18" bestFit="1" customWidth="1"/>
    <col min="7" max="7" width="11.5703125" bestFit="1" customWidth="1"/>
    <col min="8" max="8" width="8" bestFit="1" customWidth="1"/>
    <col min="9" max="9" width="10.85546875" bestFit="1" customWidth="1"/>
    <col min="10" max="10" width="9" bestFit="1" customWidth="1"/>
    <col min="11" max="11" width="8.7109375" bestFit="1" customWidth="1"/>
    <col min="12" max="12" width="8.28515625" bestFit="1" customWidth="1"/>
    <col min="13" max="13" width="10.28515625" bestFit="1" customWidth="1"/>
    <col min="14" max="14" width="14.5703125" bestFit="1" customWidth="1"/>
    <col min="15" max="15" width="8" bestFit="1" customWidth="1"/>
    <col min="16" max="16" width="13.5703125" bestFit="1" customWidth="1"/>
    <col min="17" max="17" width="13.140625" bestFit="1" customWidth="1"/>
  </cols>
  <sheetData>
    <row r="1" spans="1:17">
      <c r="A1" t="s">
        <v>17</v>
      </c>
      <c r="B1" t="s">
        <v>39</v>
      </c>
      <c r="C1" t="s">
        <v>40</v>
      </c>
      <c r="D1" t="s">
        <v>41</v>
      </c>
      <c r="E1" t="s">
        <v>42</v>
      </c>
      <c r="F1" t="s">
        <v>29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15</v>
      </c>
      <c r="O1" t="s">
        <v>50</v>
      </c>
      <c r="P1" t="s">
        <v>9</v>
      </c>
      <c r="Q1" t="s">
        <v>16</v>
      </c>
    </row>
    <row r="2" spans="1:17">
      <c r="A2" t="s">
        <v>24</v>
      </c>
      <c r="B2">
        <v>1</v>
      </c>
      <c r="C2" t="s">
        <v>51</v>
      </c>
      <c r="D2" t="s">
        <v>52</v>
      </c>
      <c r="E2" t="s">
        <v>52</v>
      </c>
      <c r="F2" t="s">
        <v>53</v>
      </c>
      <c r="G2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s">
        <v>4</v>
      </c>
      <c r="O2" t="b">
        <v>0</v>
      </c>
      <c r="P2" t="s">
        <v>10</v>
      </c>
      <c r="Q2">
        <v>0</v>
      </c>
    </row>
    <row r="3" spans="1:17">
      <c r="A3" t="s">
        <v>24</v>
      </c>
      <c r="B3">
        <v>2</v>
      </c>
      <c r="C3" t="s">
        <v>54</v>
      </c>
      <c r="D3" t="s">
        <v>52</v>
      </c>
      <c r="E3" t="s">
        <v>55</v>
      </c>
      <c r="F3" t="s">
        <v>35</v>
      </c>
      <c r="G3">
        <v>5</v>
      </c>
      <c r="H3" t="b">
        <v>0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s">
        <v>4</v>
      </c>
      <c r="O3" t="b">
        <v>0</v>
      </c>
      <c r="P3" t="s">
        <v>10</v>
      </c>
      <c r="Q3">
        <v>0</v>
      </c>
    </row>
    <row r="4" spans="1:17">
      <c r="A4" t="s">
        <v>24</v>
      </c>
      <c r="B4">
        <v>3</v>
      </c>
      <c r="C4" t="s">
        <v>56</v>
      </c>
      <c r="D4" t="s">
        <v>52</v>
      </c>
      <c r="E4" t="s">
        <v>57</v>
      </c>
      <c r="F4" t="s">
        <v>36</v>
      </c>
      <c r="G4">
        <v>3</v>
      </c>
      <c r="H4" t="b">
        <v>0</v>
      </c>
      <c r="I4" t="b">
        <v>1</v>
      </c>
      <c r="J4" t="b">
        <v>0</v>
      </c>
      <c r="K4" t="b">
        <v>1</v>
      </c>
      <c r="L4" t="b">
        <v>0</v>
      </c>
      <c r="M4" t="b">
        <v>1</v>
      </c>
      <c r="N4" t="s">
        <v>4</v>
      </c>
      <c r="O4" t="b">
        <v>0</v>
      </c>
      <c r="P4" t="s">
        <v>10</v>
      </c>
      <c r="Q4">
        <v>0</v>
      </c>
    </row>
    <row r="5" spans="1:17">
      <c r="A5" t="s">
        <v>24</v>
      </c>
      <c r="B5">
        <v>4</v>
      </c>
      <c r="C5" t="s">
        <v>58</v>
      </c>
      <c r="D5" t="s">
        <v>52</v>
      </c>
      <c r="E5" t="s">
        <v>59</v>
      </c>
      <c r="F5" t="s">
        <v>35</v>
      </c>
      <c r="G5">
        <v>5</v>
      </c>
      <c r="H5" t="b">
        <v>0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s">
        <v>4</v>
      </c>
      <c r="O5" t="b">
        <v>0</v>
      </c>
      <c r="P5" t="s">
        <v>10</v>
      </c>
      <c r="Q5">
        <v>0</v>
      </c>
    </row>
    <row r="6" spans="1:17">
      <c r="A6" t="s">
        <v>24</v>
      </c>
      <c r="B6">
        <v>5</v>
      </c>
      <c r="C6" t="s">
        <v>60</v>
      </c>
      <c r="D6" t="s">
        <v>61</v>
      </c>
      <c r="E6" t="s">
        <v>61</v>
      </c>
      <c r="F6" t="s">
        <v>53</v>
      </c>
      <c r="G6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s">
        <v>4</v>
      </c>
      <c r="O6" t="b">
        <v>0</v>
      </c>
      <c r="P6" t="s">
        <v>10</v>
      </c>
      <c r="Q6">
        <v>0</v>
      </c>
    </row>
    <row r="7" spans="1:17">
      <c r="A7" t="s">
        <v>24</v>
      </c>
      <c r="B7">
        <v>6</v>
      </c>
      <c r="C7" t="s">
        <v>62</v>
      </c>
      <c r="D7" t="s">
        <v>61</v>
      </c>
      <c r="E7" t="s">
        <v>63</v>
      </c>
      <c r="F7" t="s">
        <v>36</v>
      </c>
      <c r="G7">
        <v>3</v>
      </c>
      <c r="H7" t="b">
        <v>0</v>
      </c>
      <c r="I7" t="b">
        <v>1</v>
      </c>
      <c r="J7" t="b">
        <v>0</v>
      </c>
      <c r="K7" t="b">
        <v>1</v>
      </c>
      <c r="L7" t="b">
        <v>0</v>
      </c>
      <c r="M7" t="b">
        <v>1</v>
      </c>
      <c r="N7" t="s">
        <v>4</v>
      </c>
      <c r="O7" t="b">
        <v>0</v>
      </c>
      <c r="P7" t="s">
        <v>10</v>
      </c>
      <c r="Q7">
        <v>0</v>
      </c>
    </row>
    <row r="8" spans="1:17">
      <c r="A8" t="s">
        <v>24</v>
      </c>
      <c r="B8">
        <v>7</v>
      </c>
      <c r="C8" t="s">
        <v>64</v>
      </c>
      <c r="D8" t="s">
        <v>61</v>
      </c>
      <c r="E8" t="s">
        <v>65</v>
      </c>
      <c r="F8" t="s">
        <v>35</v>
      </c>
      <c r="G8">
        <v>5</v>
      </c>
      <c r="H8" t="b">
        <v>0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s">
        <v>4</v>
      </c>
      <c r="O8" t="b">
        <v>0</v>
      </c>
      <c r="P8" t="s">
        <v>10</v>
      </c>
      <c r="Q8">
        <v>0</v>
      </c>
    </row>
    <row r="9" spans="1:17">
      <c r="A9" t="s">
        <v>24</v>
      </c>
      <c r="B9">
        <v>8</v>
      </c>
      <c r="C9" t="s">
        <v>66</v>
      </c>
      <c r="D9" t="s">
        <v>61</v>
      </c>
      <c r="E9" t="s">
        <v>67</v>
      </c>
      <c r="F9" t="s">
        <v>35</v>
      </c>
      <c r="G9">
        <v>5</v>
      </c>
      <c r="H9" t="b">
        <v>0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s">
        <v>4</v>
      </c>
      <c r="O9" t="b">
        <v>0</v>
      </c>
      <c r="P9" t="s">
        <v>10</v>
      </c>
      <c r="Q9">
        <v>0</v>
      </c>
    </row>
    <row r="10" spans="1:17">
      <c r="A10" t="s">
        <v>24</v>
      </c>
      <c r="B10">
        <v>9</v>
      </c>
      <c r="C10" t="s">
        <v>68</v>
      </c>
      <c r="D10" t="s">
        <v>69</v>
      </c>
      <c r="E10" t="s">
        <v>69</v>
      </c>
      <c r="F10" t="s">
        <v>53</v>
      </c>
      <c r="G10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s">
        <v>4</v>
      </c>
      <c r="O10" t="b">
        <v>0</v>
      </c>
      <c r="P10" t="s">
        <v>10</v>
      </c>
      <c r="Q10">
        <v>0</v>
      </c>
    </row>
    <row r="11" spans="1:17">
      <c r="A11" t="s">
        <v>24</v>
      </c>
      <c r="B11">
        <v>10</v>
      </c>
      <c r="C11" t="s">
        <v>70</v>
      </c>
      <c r="D11" t="s">
        <v>69</v>
      </c>
      <c r="E11" t="s">
        <v>71</v>
      </c>
      <c r="F11" t="s">
        <v>36</v>
      </c>
      <c r="G11">
        <v>3</v>
      </c>
      <c r="H11" t="b">
        <v>0</v>
      </c>
      <c r="I11" t="b">
        <v>1</v>
      </c>
      <c r="J11" t="b">
        <v>0</v>
      </c>
      <c r="K11" t="b">
        <v>1</v>
      </c>
      <c r="L11" t="b">
        <v>0</v>
      </c>
      <c r="M11" t="b">
        <v>1</v>
      </c>
      <c r="N11" t="s">
        <v>4</v>
      </c>
      <c r="O11" t="b">
        <v>0</v>
      </c>
      <c r="P11" t="s">
        <v>10</v>
      </c>
      <c r="Q11">
        <v>0</v>
      </c>
    </row>
    <row r="12" spans="1:17">
      <c r="A12" t="s">
        <v>24</v>
      </c>
      <c r="B12">
        <v>11</v>
      </c>
      <c r="C12" t="s">
        <v>72</v>
      </c>
      <c r="D12" t="s">
        <v>69</v>
      </c>
      <c r="E12" t="s">
        <v>73</v>
      </c>
      <c r="F12" t="s">
        <v>35</v>
      </c>
      <c r="G12">
        <v>5</v>
      </c>
      <c r="H12" t="b">
        <v>0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s">
        <v>4</v>
      </c>
      <c r="O12" t="b">
        <v>0</v>
      </c>
      <c r="P12" t="s">
        <v>10</v>
      </c>
      <c r="Q12">
        <v>0</v>
      </c>
    </row>
    <row r="13" spans="1:17">
      <c r="A13" t="s">
        <v>24</v>
      </c>
      <c r="B13">
        <v>12</v>
      </c>
      <c r="C13" t="s">
        <v>74</v>
      </c>
      <c r="D13" t="s">
        <v>69</v>
      </c>
      <c r="E13" t="s">
        <v>75</v>
      </c>
      <c r="F13" t="s">
        <v>36</v>
      </c>
      <c r="G13">
        <v>3</v>
      </c>
      <c r="H13" t="b">
        <v>0</v>
      </c>
      <c r="I13" t="b">
        <v>1</v>
      </c>
      <c r="J13" t="b">
        <v>0</v>
      </c>
      <c r="K13" t="b">
        <v>1</v>
      </c>
      <c r="L13" t="b">
        <v>0</v>
      </c>
      <c r="M13" t="b">
        <v>1</v>
      </c>
      <c r="N13" t="s">
        <v>4</v>
      </c>
      <c r="O13" t="b">
        <v>0</v>
      </c>
      <c r="P13" t="s">
        <v>10</v>
      </c>
      <c r="Q13">
        <v>0</v>
      </c>
    </row>
    <row r="14" spans="1:17">
      <c r="A14" t="s">
        <v>24</v>
      </c>
      <c r="B14">
        <v>13</v>
      </c>
      <c r="C14" t="s">
        <v>76</v>
      </c>
      <c r="D14" t="s">
        <v>69</v>
      </c>
      <c r="E14" t="s">
        <v>77</v>
      </c>
      <c r="F14" t="s">
        <v>35</v>
      </c>
      <c r="G14">
        <v>5</v>
      </c>
      <c r="H14" t="b">
        <v>0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s">
        <v>4</v>
      </c>
      <c r="O14" t="b">
        <v>0</v>
      </c>
      <c r="P14" t="s">
        <v>10</v>
      </c>
      <c r="Q14">
        <v>0</v>
      </c>
    </row>
    <row r="15" spans="1:17">
      <c r="A15" t="s">
        <v>24</v>
      </c>
      <c r="B15">
        <v>14</v>
      </c>
      <c r="C15" t="s">
        <v>78</v>
      </c>
      <c r="D15" t="s">
        <v>69</v>
      </c>
      <c r="E15" t="s">
        <v>79</v>
      </c>
      <c r="F15" t="s">
        <v>36</v>
      </c>
      <c r="G15">
        <v>3</v>
      </c>
      <c r="H15" t="b">
        <v>0</v>
      </c>
      <c r="I15" t="b">
        <v>1</v>
      </c>
      <c r="J15" t="b">
        <v>0</v>
      </c>
      <c r="K15" t="b">
        <v>1</v>
      </c>
      <c r="L15" t="b">
        <v>0</v>
      </c>
      <c r="M15" t="b">
        <v>1</v>
      </c>
      <c r="N15" t="s">
        <v>4</v>
      </c>
      <c r="O15" t="b">
        <v>0</v>
      </c>
      <c r="P15" t="s">
        <v>10</v>
      </c>
      <c r="Q15">
        <v>0</v>
      </c>
    </row>
    <row r="16" spans="1:17">
      <c r="A16" t="s">
        <v>24</v>
      </c>
      <c r="B16">
        <v>15</v>
      </c>
      <c r="C16" t="s">
        <v>80</v>
      </c>
      <c r="D16" t="s">
        <v>69</v>
      </c>
      <c r="E16" t="s">
        <v>81</v>
      </c>
      <c r="F16" t="s">
        <v>36</v>
      </c>
      <c r="G16">
        <v>3</v>
      </c>
      <c r="H16" t="b">
        <v>0</v>
      </c>
      <c r="I16" t="b">
        <v>1</v>
      </c>
      <c r="J16" t="b">
        <v>0</v>
      </c>
      <c r="K16" t="b">
        <v>1</v>
      </c>
      <c r="L16" t="b">
        <v>0</v>
      </c>
      <c r="M16" t="b">
        <v>1</v>
      </c>
      <c r="N16" t="s">
        <v>4</v>
      </c>
      <c r="O16" t="b">
        <v>0</v>
      </c>
      <c r="P16" t="s">
        <v>10</v>
      </c>
      <c r="Q16">
        <v>0</v>
      </c>
    </row>
    <row r="17" spans="1:17">
      <c r="A17" t="s">
        <v>24</v>
      </c>
      <c r="B17">
        <v>16</v>
      </c>
      <c r="C17" t="s">
        <v>82</v>
      </c>
      <c r="D17" t="s">
        <v>69</v>
      </c>
      <c r="E17" t="s">
        <v>83</v>
      </c>
      <c r="F17" t="s">
        <v>36</v>
      </c>
      <c r="G17">
        <v>3</v>
      </c>
      <c r="H17" t="b">
        <v>0</v>
      </c>
      <c r="I17" t="b">
        <v>1</v>
      </c>
      <c r="J17" t="b">
        <v>0</v>
      </c>
      <c r="K17" t="b">
        <v>1</v>
      </c>
      <c r="L17" t="b">
        <v>0</v>
      </c>
      <c r="M17" t="b">
        <v>1</v>
      </c>
      <c r="N17" t="s">
        <v>4</v>
      </c>
      <c r="O17" t="b">
        <v>0</v>
      </c>
      <c r="P17" t="s">
        <v>10</v>
      </c>
      <c r="Q17">
        <v>0</v>
      </c>
    </row>
    <row r="18" spans="1:17">
      <c r="A18" t="s">
        <v>24</v>
      </c>
      <c r="B18">
        <v>17</v>
      </c>
      <c r="C18" t="s">
        <v>84</v>
      </c>
      <c r="D18" t="s">
        <v>69</v>
      </c>
      <c r="E18" t="s">
        <v>85</v>
      </c>
      <c r="F18" t="s">
        <v>36</v>
      </c>
      <c r="G18">
        <v>3</v>
      </c>
      <c r="H18" t="b">
        <v>0</v>
      </c>
      <c r="I18" t="b">
        <v>1</v>
      </c>
      <c r="J18" t="b">
        <v>0</v>
      </c>
      <c r="K18" t="b">
        <v>1</v>
      </c>
      <c r="L18" t="b">
        <v>0</v>
      </c>
      <c r="M18" t="b">
        <v>1</v>
      </c>
      <c r="N18" t="s">
        <v>4</v>
      </c>
      <c r="O18" t="b">
        <v>0</v>
      </c>
      <c r="P18" t="s">
        <v>10</v>
      </c>
      <c r="Q18">
        <v>0</v>
      </c>
    </row>
    <row r="19" spans="1:17">
      <c r="A19" t="s">
        <v>24</v>
      </c>
      <c r="B19">
        <v>18</v>
      </c>
      <c r="C19" t="s">
        <v>86</v>
      </c>
      <c r="D19" t="s">
        <v>69</v>
      </c>
      <c r="E19" t="s">
        <v>87</v>
      </c>
      <c r="F19" t="s">
        <v>36</v>
      </c>
      <c r="G19">
        <v>3</v>
      </c>
      <c r="H19" t="b">
        <v>0</v>
      </c>
      <c r="I19" t="b">
        <v>1</v>
      </c>
      <c r="J19" t="b">
        <v>0</v>
      </c>
      <c r="K19" t="b">
        <v>1</v>
      </c>
      <c r="L19" t="b">
        <v>0</v>
      </c>
      <c r="M19" t="b">
        <v>1</v>
      </c>
      <c r="N19" t="s">
        <v>4</v>
      </c>
      <c r="O19" t="b">
        <v>0</v>
      </c>
      <c r="P19" t="s">
        <v>10</v>
      </c>
      <c r="Q19">
        <v>0</v>
      </c>
    </row>
    <row r="20" spans="1:17">
      <c r="A20" t="s">
        <v>24</v>
      </c>
      <c r="B20">
        <v>19</v>
      </c>
      <c r="C20" t="s">
        <v>88</v>
      </c>
      <c r="D20" t="s">
        <v>69</v>
      </c>
      <c r="E20" t="s">
        <v>89</v>
      </c>
      <c r="F20" t="s">
        <v>35</v>
      </c>
      <c r="G20">
        <v>5</v>
      </c>
      <c r="H20" t="b">
        <v>0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s">
        <v>4</v>
      </c>
      <c r="O20" t="b">
        <v>0</v>
      </c>
      <c r="P20" t="s">
        <v>10</v>
      </c>
      <c r="Q20">
        <v>0</v>
      </c>
    </row>
    <row r="21" spans="1:17">
      <c r="A21" t="s">
        <v>24</v>
      </c>
      <c r="B21">
        <v>20</v>
      </c>
      <c r="C21" t="s">
        <v>90</v>
      </c>
      <c r="D21" t="s">
        <v>91</v>
      </c>
      <c r="E21" t="s">
        <v>91</v>
      </c>
      <c r="F21" t="s">
        <v>53</v>
      </c>
      <c r="G21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s">
        <v>4</v>
      </c>
      <c r="O21" t="b">
        <v>0</v>
      </c>
      <c r="P21" t="s">
        <v>10</v>
      </c>
      <c r="Q21">
        <v>0</v>
      </c>
    </row>
    <row r="22" spans="1:17">
      <c r="A22" t="s">
        <v>24</v>
      </c>
      <c r="B22">
        <v>21</v>
      </c>
      <c r="C22" t="s">
        <v>92</v>
      </c>
      <c r="D22" t="s">
        <v>91</v>
      </c>
      <c r="E22" t="s">
        <v>93</v>
      </c>
      <c r="F22" t="s">
        <v>35</v>
      </c>
      <c r="G22">
        <v>5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s">
        <v>4</v>
      </c>
      <c r="O22" t="b">
        <v>0</v>
      </c>
      <c r="P22" t="s">
        <v>10</v>
      </c>
      <c r="Q22">
        <v>0</v>
      </c>
    </row>
    <row r="23" spans="1:17">
      <c r="A23" t="s">
        <v>24</v>
      </c>
      <c r="B23">
        <v>22</v>
      </c>
      <c r="C23" t="s">
        <v>94</v>
      </c>
      <c r="D23" t="s">
        <v>91</v>
      </c>
      <c r="E23" t="s">
        <v>95</v>
      </c>
      <c r="F23" t="s">
        <v>35</v>
      </c>
      <c r="G23">
        <v>5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s">
        <v>4</v>
      </c>
      <c r="O23" t="b">
        <v>0</v>
      </c>
      <c r="P23" t="s">
        <v>10</v>
      </c>
      <c r="Q23">
        <v>0</v>
      </c>
    </row>
    <row r="24" spans="1:17">
      <c r="A24" t="s">
        <v>24</v>
      </c>
      <c r="B24">
        <v>23</v>
      </c>
      <c r="C24" t="s">
        <v>96</v>
      </c>
      <c r="D24" t="s">
        <v>91</v>
      </c>
      <c r="E24" t="s">
        <v>97</v>
      </c>
      <c r="F24" t="s">
        <v>35</v>
      </c>
      <c r="G24">
        <v>5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s">
        <v>4</v>
      </c>
      <c r="O24" t="b">
        <v>0</v>
      </c>
      <c r="P24" t="s">
        <v>10</v>
      </c>
      <c r="Q24">
        <v>0</v>
      </c>
    </row>
    <row r="25" spans="1:17">
      <c r="A25" t="s">
        <v>24</v>
      </c>
      <c r="B25">
        <v>24</v>
      </c>
      <c r="C25" t="s">
        <v>98</v>
      </c>
      <c r="D25" t="s">
        <v>91</v>
      </c>
      <c r="E25" t="s">
        <v>99</v>
      </c>
      <c r="F25" t="s">
        <v>35</v>
      </c>
      <c r="G25">
        <v>5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s">
        <v>4</v>
      </c>
      <c r="O25" t="b">
        <v>0</v>
      </c>
      <c r="P25" t="s">
        <v>10</v>
      </c>
      <c r="Q25">
        <v>0</v>
      </c>
    </row>
    <row r="26" spans="1:17">
      <c r="A26" t="s">
        <v>24</v>
      </c>
      <c r="B26">
        <v>25</v>
      </c>
      <c r="C26" t="s">
        <v>100</v>
      </c>
      <c r="D26" t="s">
        <v>91</v>
      </c>
      <c r="E26" t="s">
        <v>101</v>
      </c>
      <c r="F26" t="s">
        <v>35</v>
      </c>
      <c r="G26">
        <v>5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s">
        <v>4</v>
      </c>
      <c r="O26" t="b">
        <v>0</v>
      </c>
      <c r="P26" t="s">
        <v>10</v>
      </c>
      <c r="Q26">
        <v>0</v>
      </c>
    </row>
    <row r="27" spans="1:17">
      <c r="A27" t="s">
        <v>24</v>
      </c>
      <c r="B27">
        <v>26</v>
      </c>
      <c r="C27" t="s">
        <v>102</v>
      </c>
      <c r="D27" t="s">
        <v>91</v>
      </c>
      <c r="E27" t="s">
        <v>103</v>
      </c>
      <c r="F27" t="s">
        <v>35</v>
      </c>
      <c r="G27">
        <v>5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s">
        <v>4</v>
      </c>
      <c r="O27" t="b">
        <v>0</v>
      </c>
      <c r="P27" t="s">
        <v>10</v>
      </c>
      <c r="Q27">
        <v>0</v>
      </c>
    </row>
    <row r="28" spans="1:17">
      <c r="A28" t="s">
        <v>24</v>
      </c>
      <c r="B28">
        <v>27</v>
      </c>
      <c r="C28" t="s">
        <v>104</v>
      </c>
      <c r="D28" t="s">
        <v>91</v>
      </c>
      <c r="E28" t="s">
        <v>105</v>
      </c>
      <c r="F28" t="s">
        <v>35</v>
      </c>
      <c r="G28">
        <v>5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s">
        <v>4</v>
      </c>
      <c r="O28" t="b">
        <v>0</v>
      </c>
      <c r="P28" t="s">
        <v>10</v>
      </c>
      <c r="Q28">
        <v>0</v>
      </c>
    </row>
    <row r="29" spans="1:17">
      <c r="A29" t="s">
        <v>24</v>
      </c>
      <c r="B29">
        <v>28</v>
      </c>
      <c r="C29" t="s">
        <v>106</v>
      </c>
      <c r="D29" t="s">
        <v>107</v>
      </c>
      <c r="E29" t="s">
        <v>107</v>
      </c>
      <c r="F29" t="s">
        <v>53</v>
      </c>
      <c r="G29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s">
        <v>4</v>
      </c>
      <c r="O29" t="b">
        <v>0</v>
      </c>
      <c r="P29" t="s">
        <v>10</v>
      </c>
      <c r="Q29">
        <v>0</v>
      </c>
    </row>
    <row r="30" spans="1:17">
      <c r="A30" t="s">
        <v>24</v>
      </c>
      <c r="B30">
        <v>29</v>
      </c>
      <c r="C30" t="s">
        <v>108</v>
      </c>
      <c r="D30" t="s">
        <v>107</v>
      </c>
      <c r="E30" t="s">
        <v>109</v>
      </c>
      <c r="F30" t="s">
        <v>36</v>
      </c>
      <c r="G30">
        <v>3</v>
      </c>
      <c r="H30" t="b">
        <v>0</v>
      </c>
      <c r="I30" t="b">
        <v>1</v>
      </c>
      <c r="J30" t="b">
        <v>0</v>
      </c>
      <c r="K30" t="b">
        <v>1</v>
      </c>
      <c r="L30" t="b">
        <v>0</v>
      </c>
      <c r="M30" t="b">
        <v>1</v>
      </c>
      <c r="N30" t="s">
        <v>4</v>
      </c>
      <c r="O30" t="b">
        <v>0</v>
      </c>
      <c r="P30" t="s">
        <v>10</v>
      </c>
      <c r="Q30">
        <v>0</v>
      </c>
    </row>
    <row r="31" spans="1:17">
      <c r="A31" t="s">
        <v>24</v>
      </c>
      <c r="B31">
        <v>30</v>
      </c>
      <c r="C31" t="s">
        <v>110</v>
      </c>
      <c r="D31" t="s">
        <v>107</v>
      </c>
      <c r="E31" t="s">
        <v>111</v>
      </c>
      <c r="F31" t="s">
        <v>37</v>
      </c>
      <c r="G31">
        <v>10</v>
      </c>
      <c r="H31" t="b">
        <v>0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s">
        <v>4</v>
      </c>
      <c r="O31" t="b">
        <v>0</v>
      </c>
      <c r="P31" t="s">
        <v>10</v>
      </c>
      <c r="Q31">
        <v>0</v>
      </c>
    </row>
    <row r="32" spans="1:17">
      <c r="A32" t="s">
        <v>24</v>
      </c>
      <c r="B32">
        <v>31</v>
      </c>
      <c r="C32" t="s">
        <v>112</v>
      </c>
      <c r="D32" t="s">
        <v>113</v>
      </c>
      <c r="E32" t="s">
        <v>113</v>
      </c>
      <c r="F32" t="s">
        <v>53</v>
      </c>
      <c r="G32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s">
        <v>4</v>
      </c>
      <c r="O32" t="b">
        <v>0</v>
      </c>
      <c r="P32" t="s">
        <v>10</v>
      </c>
      <c r="Q32">
        <v>0</v>
      </c>
    </row>
    <row r="33" spans="1:17">
      <c r="A33" t="s">
        <v>24</v>
      </c>
      <c r="B33">
        <v>32</v>
      </c>
      <c r="C33" t="s">
        <v>114</v>
      </c>
      <c r="D33" t="s">
        <v>113</v>
      </c>
      <c r="E33" t="s">
        <v>115</v>
      </c>
      <c r="F33" t="s">
        <v>37</v>
      </c>
      <c r="G33">
        <v>10</v>
      </c>
      <c r="H33" t="b">
        <v>0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s">
        <v>4</v>
      </c>
      <c r="O33" t="b">
        <v>0</v>
      </c>
      <c r="P33" t="s">
        <v>10</v>
      </c>
      <c r="Q33">
        <v>0</v>
      </c>
    </row>
    <row r="34" spans="1:17">
      <c r="A34" t="s">
        <v>25</v>
      </c>
      <c r="B34">
        <v>1</v>
      </c>
      <c r="C34" t="s">
        <v>116</v>
      </c>
      <c r="D34" t="s">
        <v>117</v>
      </c>
      <c r="E34" t="s">
        <v>117</v>
      </c>
      <c r="F34" t="s">
        <v>53</v>
      </c>
      <c r="G34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s">
        <v>4</v>
      </c>
      <c r="O34" t="b">
        <v>1</v>
      </c>
      <c r="P34" t="s">
        <v>10</v>
      </c>
      <c r="Q34">
        <v>1</v>
      </c>
    </row>
    <row r="35" spans="1:17">
      <c r="A35" t="s">
        <v>25</v>
      </c>
      <c r="B35">
        <v>2</v>
      </c>
      <c r="C35" t="s">
        <v>118</v>
      </c>
      <c r="D35" t="s">
        <v>117</v>
      </c>
      <c r="E35" t="s">
        <v>119</v>
      </c>
      <c r="F35" t="s">
        <v>36</v>
      </c>
      <c r="G35">
        <v>3</v>
      </c>
      <c r="H35" t="b">
        <v>0</v>
      </c>
      <c r="I35" t="b">
        <v>1</v>
      </c>
      <c r="J35" t="b">
        <v>0</v>
      </c>
      <c r="K35" t="b">
        <v>1</v>
      </c>
      <c r="L35" t="b">
        <v>0</v>
      </c>
      <c r="M35" t="b">
        <v>1</v>
      </c>
      <c r="N35" t="s">
        <v>4</v>
      </c>
      <c r="O35" t="b">
        <v>1</v>
      </c>
      <c r="P35" t="s">
        <v>10</v>
      </c>
      <c r="Q35">
        <v>1</v>
      </c>
    </row>
    <row r="36" spans="1:17">
      <c r="A36" t="s">
        <v>25</v>
      </c>
      <c r="B36">
        <v>3</v>
      </c>
      <c r="C36" t="s">
        <v>120</v>
      </c>
      <c r="D36" t="s">
        <v>117</v>
      </c>
      <c r="E36" t="s">
        <v>121</v>
      </c>
      <c r="F36" t="s">
        <v>35</v>
      </c>
      <c r="G36">
        <v>5</v>
      </c>
      <c r="H36" t="b">
        <v>0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s">
        <v>4</v>
      </c>
      <c r="O36" t="b">
        <v>1</v>
      </c>
      <c r="P36" t="s">
        <v>10</v>
      </c>
      <c r="Q36">
        <v>1</v>
      </c>
    </row>
    <row r="37" spans="1:17">
      <c r="A37" t="s">
        <v>25</v>
      </c>
      <c r="B37">
        <v>4</v>
      </c>
      <c r="C37" t="s">
        <v>122</v>
      </c>
      <c r="D37" t="s">
        <v>117</v>
      </c>
      <c r="E37" t="s">
        <v>63</v>
      </c>
      <c r="F37" t="s">
        <v>36</v>
      </c>
      <c r="G37">
        <v>3</v>
      </c>
      <c r="H37" t="b">
        <v>1</v>
      </c>
      <c r="I37" t="b">
        <v>1</v>
      </c>
      <c r="J37" t="b">
        <v>0</v>
      </c>
      <c r="K37" t="b">
        <v>1</v>
      </c>
      <c r="L37" t="b">
        <v>0</v>
      </c>
      <c r="M37" t="b">
        <v>1</v>
      </c>
      <c r="N37" t="s">
        <v>4</v>
      </c>
      <c r="O37" t="b">
        <v>1</v>
      </c>
      <c r="P37" t="s">
        <v>10</v>
      </c>
      <c r="Q37">
        <v>1</v>
      </c>
    </row>
    <row r="38" spans="1:17">
      <c r="A38" t="s">
        <v>25</v>
      </c>
      <c r="B38">
        <v>5</v>
      </c>
      <c r="C38" t="s">
        <v>123</v>
      </c>
      <c r="D38" t="s">
        <v>117</v>
      </c>
      <c r="E38" t="s">
        <v>124</v>
      </c>
      <c r="F38" t="s">
        <v>35</v>
      </c>
      <c r="G38">
        <v>5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s">
        <v>4</v>
      </c>
      <c r="O38" t="b">
        <v>1</v>
      </c>
      <c r="P38" t="s">
        <v>10</v>
      </c>
      <c r="Q38">
        <v>1</v>
      </c>
    </row>
    <row r="39" spans="1:17">
      <c r="A39" t="s">
        <v>25</v>
      </c>
      <c r="B39">
        <v>6</v>
      </c>
      <c r="C39" t="s">
        <v>125</v>
      </c>
      <c r="D39" t="s">
        <v>117</v>
      </c>
      <c r="E39" t="s">
        <v>126</v>
      </c>
      <c r="F39" t="s">
        <v>36</v>
      </c>
      <c r="G39">
        <v>3</v>
      </c>
      <c r="H39" t="b">
        <v>1</v>
      </c>
      <c r="I39" t="b">
        <v>1</v>
      </c>
      <c r="J39" t="b">
        <v>0</v>
      </c>
      <c r="K39" t="b">
        <v>1</v>
      </c>
      <c r="L39" t="b">
        <v>0</v>
      </c>
      <c r="M39" t="b">
        <v>1</v>
      </c>
      <c r="N39" t="s">
        <v>4</v>
      </c>
      <c r="O39" t="b">
        <v>1</v>
      </c>
      <c r="P39" t="s">
        <v>10</v>
      </c>
      <c r="Q39">
        <v>1</v>
      </c>
    </row>
    <row r="40" spans="1:17">
      <c r="A40" t="s">
        <v>25</v>
      </c>
      <c r="B40">
        <v>7</v>
      </c>
      <c r="C40" t="s">
        <v>127</v>
      </c>
      <c r="D40" t="s">
        <v>128</v>
      </c>
      <c r="E40" t="s">
        <v>128</v>
      </c>
      <c r="F40" t="s">
        <v>53</v>
      </c>
      <c r="G40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s">
        <v>4</v>
      </c>
      <c r="O40" t="b">
        <v>1</v>
      </c>
      <c r="P40" t="s">
        <v>10</v>
      </c>
      <c r="Q40">
        <v>1</v>
      </c>
    </row>
    <row r="41" spans="1:17">
      <c r="A41" t="s">
        <v>25</v>
      </c>
      <c r="B41">
        <v>8</v>
      </c>
      <c r="C41" t="s">
        <v>129</v>
      </c>
      <c r="D41" t="s">
        <v>128</v>
      </c>
      <c r="E41" t="s">
        <v>130</v>
      </c>
      <c r="F41" t="s">
        <v>35</v>
      </c>
      <c r="G41">
        <v>5</v>
      </c>
      <c r="H41" t="b">
        <v>0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s">
        <v>4</v>
      </c>
      <c r="O41" t="b">
        <v>1</v>
      </c>
      <c r="P41" t="s">
        <v>10</v>
      </c>
      <c r="Q41">
        <v>1</v>
      </c>
    </row>
    <row r="42" spans="1:17">
      <c r="A42" t="s">
        <v>25</v>
      </c>
      <c r="B42">
        <v>9</v>
      </c>
      <c r="C42" t="s">
        <v>131</v>
      </c>
      <c r="D42" t="s">
        <v>128</v>
      </c>
      <c r="E42" t="s">
        <v>132</v>
      </c>
      <c r="F42" t="s">
        <v>35</v>
      </c>
      <c r="G42">
        <v>5</v>
      </c>
      <c r="H42" t="b">
        <v>0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s">
        <v>4</v>
      </c>
      <c r="O42" t="b">
        <v>1</v>
      </c>
      <c r="P42" t="s">
        <v>10</v>
      </c>
      <c r="Q42">
        <v>1</v>
      </c>
    </row>
    <row r="43" spans="1:17">
      <c r="A43" t="s">
        <v>25</v>
      </c>
      <c r="B43">
        <v>10</v>
      </c>
      <c r="C43" t="s">
        <v>133</v>
      </c>
      <c r="D43" t="s">
        <v>128</v>
      </c>
      <c r="E43" t="s">
        <v>134</v>
      </c>
      <c r="F43" t="s">
        <v>35</v>
      </c>
      <c r="G43">
        <v>5</v>
      </c>
      <c r="H43" t="b">
        <v>0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s">
        <v>4</v>
      </c>
      <c r="O43" t="b">
        <v>1</v>
      </c>
      <c r="P43" t="s">
        <v>10</v>
      </c>
      <c r="Q43">
        <v>1</v>
      </c>
    </row>
    <row r="44" spans="1:17">
      <c r="A44" t="s">
        <v>25</v>
      </c>
      <c r="B44">
        <v>11</v>
      </c>
      <c r="C44" t="s">
        <v>135</v>
      </c>
      <c r="D44" t="s">
        <v>128</v>
      </c>
      <c r="E44" t="s">
        <v>136</v>
      </c>
      <c r="F44" t="s">
        <v>35</v>
      </c>
      <c r="G44">
        <v>5</v>
      </c>
      <c r="H44" t="b">
        <v>0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s">
        <v>4</v>
      </c>
      <c r="O44" t="b">
        <v>1</v>
      </c>
      <c r="P44" t="s">
        <v>10</v>
      </c>
      <c r="Q44">
        <v>1</v>
      </c>
    </row>
    <row r="45" spans="1:17">
      <c r="A45" t="s">
        <v>25</v>
      </c>
      <c r="B45">
        <v>12</v>
      </c>
      <c r="C45" t="s">
        <v>137</v>
      </c>
      <c r="D45" t="s">
        <v>128</v>
      </c>
      <c r="E45" t="s">
        <v>138</v>
      </c>
      <c r="F45" t="s">
        <v>35</v>
      </c>
      <c r="G45">
        <v>5</v>
      </c>
      <c r="H45" t="b">
        <v>0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s">
        <v>4</v>
      </c>
      <c r="O45" t="b">
        <v>1</v>
      </c>
      <c r="P45" t="s">
        <v>10</v>
      </c>
      <c r="Q45">
        <v>1</v>
      </c>
    </row>
    <row r="46" spans="1:17">
      <c r="A46" t="s">
        <v>25</v>
      </c>
      <c r="B46">
        <v>13</v>
      </c>
      <c r="C46" t="s">
        <v>139</v>
      </c>
      <c r="D46" t="s">
        <v>128</v>
      </c>
      <c r="E46" t="s">
        <v>140</v>
      </c>
      <c r="F46" t="s">
        <v>35</v>
      </c>
      <c r="G46">
        <v>5</v>
      </c>
      <c r="H46" t="b">
        <v>0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s">
        <v>4</v>
      </c>
      <c r="O46" t="b">
        <v>1</v>
      </c>
      <c r="P46" t="s">
        <v>10</v>
      </c>
      <c r="Q46">
        <v>1</v>
      </c>
    </row>
    <row r="47" spans="1:17">
      <c r="A47" t="s">
        <v>25</v>
      </c>
      <c r="B47">
        <v>14</v>
      </c>
      <c r="C47" t="s">
        <v>141</v>
      </c>
      <c r="D47" t="s">
        <v>128</v>
      </c>
      <c r="E47" t="s">
        <v>142</v>
      </c>
      <c r="F47" t="s">
        <v>35</v>
      </c>
      <c r="G47">
        <v>5</v>
      </c>
      <c r="H47" t="b">
        <v>0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s">
        <v>4</v>
      </c>
      <c r="O47" t="b">
        <v>1</v>
      </c>
      <c r="P47" t="s">
        <v>10</v>
      </c>
      <c r="Q47">
        <v>1</v>
      </c>
    </row>
    <row r="48" spans="1:17">
      <c r="A48" t="s">
        <v>25</v>
      </c>
      <c r="B48">
        <v>15</v>
      </c>
      <c r="C48" t="s">
        <v>143</v>
      </c>
      <c r="D48" t="s">
        <v>128</v>
      </c>
      <c r="E48" t="s">
        <v>144</v>
      </c>
      <c r="F48" t="s">
        <v>35</v>
      </c>
      <c r="G48">
        <v>5</v>
      </c>
      <c r="H48" t="b">
        <v>0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s">
        <v>4</v>
      </c>
      <c r="O48" t="b">
        <v>1</v>
      </c>
      <c r="P48" t="s">
        <v>10</v>
      </c>
      <c r="Q48">
        <v>1</v>
      </c>
    </row>
    <row r="49" spans="1:17">
      <c r="A49" t="s">
        <v>25</v>
      </c>
      <c r="B49">
        <v>16</v>
      </c>
      <c r="C49" t="s">
        <v>145</v>
      </c>
      <c r="D49" t="s">
        <v>128</v>
      </c>
      <c r="E49" t="s">
        <v>146</v>
      </c>
      <c r="F49" t="s">
        <v>35</v>
      </c>
      <c r="G49">
        <v>5</v>
      </c>
      <c r="H49" t="b">
        <v>0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s">
        <v>4</v>
      </c>
      <c r="O49" t="b">
        <v>1</v>
      </c>
      <c r="P49" t="s">
        <v>10</v>
      </c>
      <c r="Q49">
        <v>1</v>
      </c>
    </row>
    <row r="50" spans="1:17">
      <c r="A50" t="s">
        <v>25</v>
      </c>
      <c r="B50">
        <v>17</v>
      </c>
      <c r="C50" t="s">
        <v>147</v>
      </c>
      <c r="D50" t="s">
        <v>128</v>
      </c>
      <c r="E50" t="s">
        <v>148</v>
      </c>
      <c r="F50" t="s">
        <v>35</v>
      </c>
      <c r="G50">
        <v>5</v>
      </c>
      <c r="H50" t="b">
        <v>0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s">
        <v>4</v>
      </c>
      <c r="O50" t="b">
        <v>1</v>
      </c>
      <c r="P50" t="s">
        <v>10</v>
      </c>
      <c r="Q50">
        <v>1</v>
      </c>
    </row>
    <row r="51" spans="1:17">
      <c r="A51" t="s">
        <v>25</v>
      </c>
      <c r="B51">
        <v>18</v>
      </c>
      <c r="C51" t="s">
        <v>149</v>
      </c>
      <c r="D51" t="s">
        <v>128</v>
      </c>
      <c r="E51" t="s">
        <v>150</v>
      </c>
      <c r="F51" t="s">
        <v>35</v>
      </c>
      <c r="G51">
        <v>5</v>
      </c>
      <c r="H51" t="b">
        <v>0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s">
        <v>4</v>
      </c>
      <c r="O51" t="b">
        <v>1</v>
      </c>
      <c r="P51" t="s">
        <v>10</v>
      </c>
      <c r="Q51">
        <v>1</v>
      </c>
    </row>
    <row r="52" spans="1:17">
      <c r="A52" t="s">
        <v>25</v>
      </c>
      <c r="B52">
        <v>19</v>
      </c>
      <c r="C52" t="s">
        <v>151</v>
      </c>
      <c r="D52" t="s">
        <v>128</v>
      </c>
      <c r="E52" t="s">
        <v>152</v>
      </c>
      <c r="F52" t="s">
        <v>35</v>
      </c>
      <c r="G52">
        <v>5</v>
      </c>
      <c r="H52" t="b">
        <v>0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s">
        <v>4</v>
      </c>
      <c r="O52" t="b">
        <v>1</v>
      </c>
      <c r="P52" t="s">
        <v>10</v>
      </c>
      <c r="Q52">
        <v>1</v>
      </c>
    </row>
    <row r="53" spans="1:17">
      <c r="A53" t="s">
        <v>25</v>
      </c>
      <c r="B53">
        <v>20</v>
      </c>
      <c r="C53" t="s">
        <v>153</v>
      </c>
      <c r="D53" t="s">
        <v>128</v>
      </c>
      <c r="E53" t="s">
        <v>154</v>
      </c>
      <c r="F53" t="s">
        <v>35</v>
      </c>
      <c r="G53">
        <v>5</v>
      </c>
      <c r="H53" t="b">
        <v>0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s">
        <v>4</v>
      </c>
      <c r="O53" t="b">
        <v>1</v>
      </c>
      <c r="P53" t="s">
        <v>10</v>
      </c>
      <c r="Q53">
        <v>1</v>
      </c>
    </row>
    <row r="54" spans="1:17">
      <c r="A54" t="s">
        <v>25</v>
      </c>
      <c r="B54">
        <v>21</v>
      </c>
      <c r="C54" t="s">
        <v>155</v>
      </c>
      <c r="D54" t="s">
        <v>128</v>
      </c>
      <c r="E54" t="s">
        <v>156</v>
      </c>
      <c r="F54" t="s">
        <v>35</v>
      </c>
      <c r="G54">
        <v>5</v>
      </c>
      <c r="H54" t="b">
        <v>0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s">
        <v>4</v>
      </c>
      <c r="O54" t="b">
        <v>1</v>
      </c>
      <c r="P54" t="s">
        <v>10</v>
      </c>
      <c r="Q54">
        <v>1</v>
      </c>
    </row>
    <row r="55" spans="1:17">
      <c r="A55" t="s">
        <v>25</v>
      </c>
      <c r="B55">
        <v>22</v>
      </c>
      <c r="C55" t="s">
        <v>157</v>
      </c>
      <c r="D55" t="s">
        <v>128</v>
      </c>
      <c r="E55" t="s">
        <v>158</v>
      </c>
      <c r="F55" t="s">
        <v>35</v>
      </c>
      <c r="G55">
        <v>5</v>
      </c>
      <c r="H55" t="b">
        <v>0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s">
        <v>4</v>
      </c>
      <c r="O55" t="b">
        <v>1</v>
      </c>
      <c r="P55" t="s">
        <v>10</v>
      </c>
      <c r="Q55">
        <v>1</v>
      </c>
    </row>
    <row r="56" spans="1:17">
      <c r="A56" t="s">
        <v>25</v>
      </c>
      <c r="B56">
        <v>23</v>
      </c>
      <c r="C56" t="s">
        <v>159</v>
      </c>
      <c r="D56" t="s">
        <v>128</v>
      </c>
      <c r="E56" t="s">
        <v>160</v>
      </c>
      <c r="F56" t="s">
        <v>35</v>
      </c>
      <c r="G56">
        <v>5</v>
      </c>
      <c r="H56" t="b">
        <v>0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s">
        <v>4</v>
      </c>
      <c r="O56" t="b">
        <v>1</v>
      </c>
      <c r="P56" t="s">
        <v>10</v>
      </c>
      <c r="Q56">
        <v>1</v>
      </c>
    </row>
    <row r="57" spans="1:17">
      <c r="A57" t="s">
        <v>25</v>
      </c>
      <c r="B57">
        <v>24</v>
      </c>
      <c r="C57" t="s">
        <v>161</v>
      </c>
      <c r="D57" t="s">
        <v>128</v>
      </c>
      <c r="E57" t="s">
        <v>162</v>
      </c>
      <c r="F57" t="s">
        <v>35</v>
      </c>
      <c r="G57">
        <v>5</v>
      </c>
      <c r="H57" t="b">
        <v>0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s">
        <v>4</v>
      </c>
      <c r="O57" t="b">
        <v>1</v>
      </c>
      <c r="P57" t="s">
        <v>10</v>
      </c>
      <c r="Q57">
        <v>1</v>
      </c>
    </row>
    <row r="58" spans="1:17">
      <c r="A58" t="s">
        <v>25</v>
      </c>
      <c r="B58">
        <v>25</v>
      </c>
      <c r="C58" t="s">
        <v>163</v>
      </c>
      <c r="D58" t="s">
        <v>128</v>
      </c>
      <c r="E58" t="s">
        <v>164</v>
      </c>
      <c r="F58" t="s">
        <v>35</v>
      </c>
      <c r="G58">
        <v>5</v>
      </c>
      <c r="H58" t="b">
        <v>0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s">
        <v>4</v>
      </c>
      <c r="O58" t="b">
        <v>1</v>
      </c>
      <c r="P58" t="s">
        <v>10</v>
      </c>
      <c r="Q58">
        <v>1</v>
      </c>
    </row>
    <row r="59" spans="1:17">
      <c r="A59" t="s">
        <v>26</v>
      </c>
      <c r="B59">
        <v>1</v>
      </c>
      <c r="C59" t="s">
        <v>165</v>
      </c>
      <c r="D59" t="s">
        <v>117</v>
      </c>
      <c r="E59" t="s">
        <v>117</v>
      </c>
      <c r="F59" t="s">
        <v>53</v>
      </c>
      <c r="G59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s">
        <v>4</v>
      </c>
      <c r="O59" t="b">
        <v>0</v>
      </c>
      <c r="P59" t="s">
        <v>10</v>
      </c>
      <c r="Q59">
        <v>2</v>
      </c>
    </row>
    <row r="60" spans="1:17">
      <c r="A60" t="s">
        <v>26</v>
      </c>
      <c r="B60">
        <v>2</v>
      </c>
      <c r="C60" t="s">
        <v>166</v>
      </c>
      <c r="D60" t="s">
        <v>117</v>
      </c>
      <c r="E60" t="s">
        <v>167</v>
      </c>
      <c r="F60" t="s">
        <v>36</v>
      </c>
      <c r="G60">
        <v>3</v>
      </c>
      <c r="H60" t="b">
        <v>0</v>
      </c>
      <c r="I60" t="b">
        <v>1</v>
      </c>
      <c r="J60" t="b">
        <v>0</v>
      </c>
      <c r="K60" t="b">
        <v>1</v>
      </c>
      <c r="L60" t="b">
        <v>0</v>
      </c>
      <c r="M60" t="b">
        <v>1</v>
      </c>
      <c r="N60" t="s">
        <v>4</v>
      </c>
      <c r="O60" t="b">
        <v>0</v>
      </c>
      <c r="P60" t="s">
        <v>10</v>
      </c>
      <c r="Q60">
        <v>2</v>
      </c>
    </row>
    <row r="61" spans="1:17">
      <c r="A61" t="s">
        <v>26</v>
      </c>
      <c r="B61">
        <v>3</v>
      </c>
      <c r="C61" t="s">
        <v>168</v>
      </c>
      <c r="D61" t="s">
        <v>117</v>
      </c>
      <c r="E61" t="s">
        <v>169</v>
      </c>
      <c r="F61" t="s">
        <v>35</v>
      </c>
      <c r="G61">
        <v>5</v>
      </c>
      <c r="H61" t="b">
        <v>0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s">
        <v>4</v>
      </c>
      <c r="O61" t="b">
        <v>0</v>
      </c>
      <c r="P61" t="s">
        <v>10</v>
      </c>
      <c r="Q61">
        <v>2</v>
      </c>
    </row>
    <row r="62" spans="1:17">
      <c r="A62" t="s">
        <v>26</v>
      </c>
      <c r="B62">
        <v>4</v>
      </c>
      <c r="C62" t="s">
        <v>170</v>
      </c>
      <c r="D62" t="s">
        <v>117</v>
      </c>
      <c r="E62" t="s">
        <v>171</v>
      </c>
      <c r="F62" t="s">
        <v>35</v>
      </c>
      <c r="G62">
        <v>5</v>
      </c>
      <c r="H62" t="b">
        <v>0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s">
        <v>4</v>
      </c>
      <c r="O62" t="b">
        <v>0</v>
      </c>
      <c r="P62" t="s">
        <v>10</v>
      </c>
      <c r="Q62">
        <v>2</v>
      </c>
    </row>
    <row r="63" spans="1:17">
      <c r="A63" t="s">
        <v>26</v>
      </c>
      <c r="B63">
        <v>5</v>
      </c>
      <c r="C63" t="s">
        <v>172</v>
      </c>
      <c r="D63" t="s">
        <v>117</v>
      </c>
      <c r="E63" t="s">
        <v>63</v>
      </c>
      <c r="F63" t="s">
        <v>35</v>
      </c>
      <c r="G63">
        <v>5</v>
      </c>
      <c r="H63" t="b">
        <v>0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s">
        <v>4</v>
      </c>
      <c r="O63" t="b">
        <v>0</v>
      </c>
      <c r="P63" t="s">
        <v>10</v>
      </c>
      <c r="Q63">
        <v>2</v>
      </c>
    </row>
    <row r="64" spans="1:17">
      <c r="A64" t="s">
        <v>26</v>
      </c>
      <c r="B64">
        <v>6</v>
      </c>
      <c r="C64" t="s">
        <v>173</v>
      </c>
      <c r="D64" t="s">
        <v>117</v>
      </c>
      <c r="E64" t="s">
        <v>124</v>
      </c>
      <c r="F64" t="s">
        <v>36</v>
      </c>
      <c r="G64">
        <v>3</v>
      </c>
      <c r="H64" t="b">
        <v>1</v>
      </c>
      <c r="I64" t="b">
        <v>1</v>
      </c>
      <c r="J64" t="b">
        <v>0</v>
      </c>
      <c r="K64" t="b">
        <v>1</v>
      </c>
      <c r="L64" t="b">
        <v>0</v>
      </c>
      <c r="M64" t="b">
        <v>1</v>
      </c>
      <c r="N64" t="s">
        <v>4</v>
      </c>
      <c r="O64" t="b">
        <v>0</v>
      </c>
      <c r="P64" t="s">
        <v>10</v>
      </c>
      <c r="Q64">
        <v>2</v>
      </c>
    </row>
    <row r="65" spans="1:17">
      <c r="A65" t="s">
        <v>26</v>
      </c>
      <c r="B65">
        <v>7</v>
      </c>
      <c r="C65" t="s">
        <v>174</v>
      </c>
      <c r="D65" t="s">
        <v>117</v>
      </c>
      <c r="E65" t="s">
        <v>126</v>
      </c>
      <c r="F65" t="s">
        <v>35</v>
      </c>
      <c r="G65">
        <v>5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s">
        <v>4</v>
      </c>
      <c r="O65" t="b">
        <v>0</v>
      </c>
      <c r="P65" t="s">
        <v>10</v>
      </c>
      <c r="Q65">
        <v>2</v>
      </c>
    </row>
    <row r="66" spans="1:17">
      <c r="A66" t="s">
        <v>26</v>
      </c>
      <c r="B66">
        <v>8</v>
      </c>
      <c r="C66" t="s">
        <v>175</v>
      </c>
      <c r="D66" t="s">
        <v>117</v>
      </c>
      <c r="E66" t="s">
        <v>176</v>
      </c>
      <c r="F66" t="s">
        <v>35</v>
      </c>
      <c r="G66">
        <v>5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s">
        <v>4</v>
      </c>
      <c r="O66" t="b">
        <v>0</v>
      </c>
      <c r="P66" t="s">
        <v>10</v>
      </c>
      <c r="Q66">
        <v>2</v>
      </c>
    </row>
    <row r="67" spans="1:17">
      <c r="A67" t="s">
        <v>26</v>
      </c>
      <c r="B67">
        <v>9</v>
      </c>
      <c r="C67" t="s">
        <v>177</v>
      </c>
      <c r="D67" t="s">
        <v>117</v>
      </c>
      <c r="E67" t="s">
        <v>178</v>
      </c>
      <c r="F67" t="s">
        <v>36</v>
      </c>
      <c r="G67">
        <v>3</v>
      </c>
      <c r="H67" t="b">
        <v>1</v>
      </c>
      <c r="I67" t="b">
        <v>1</v>
      </c>
      <c r="J67" t="b">
        <v>0</v>
      </c>
      <c r="K67" t="b">
        <v>1</v>
      </c>
      <c r="L67" t="b">
        <v>0</v>
      </c>
      <c r="M67" t="b">
        <v>1</v>
      </c>
      <c r="N67" t="s">
        <v>4</v>
      </c>
      <c r="O67" t="b">
        <v>0</v>
      </c>
      <c r="P67" t="s">
        <v>10</v>
      </c>
      <c r="Q67">
        <v>2</v>
      </c>
    </row>
    <row r="68" spans="1:17">
      <c r="A68" t="s">
        <v>26</v>
      </c>
      <c r="B68">
        <v>10</v>
      </c>
      <c r="C68" t="s">
        <v>179</v>
      </c>
      <c r="D68" t="s">
        <v>128</v>
      </c>
      <c r="E68" t="s">
        <v>128</v>
      </c>
      <c r="F68" t="s">
        <v>53</v>
      </c>
      <c r="G68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s">
        <v>4</v>
      </c>
      <c r="O68" t="b">
        <v>0</v>
      </c>
      <c r="P68" t="s">
        <v>10</v>
      </c>
      <c r="Q68">
        <v>2</v>
      </c>
    </row>
    <row r="69" spans="1:17">
      <c r="A69" t="s">
        <v>26</v>
      </c>
      <c r="B69">
        <v>11</v>
      </c>
      <c r="C69" t="s">
        <v>180</v>
      </c>
      <c r="D69" t="s">
        <v>128</v>
      </c>
      <c r="E69" t="s">
        <v>181</v>
      </c>
      <c r="F69" t="s">
        <v>37</v>
      </c>
      <c r="G69">
        <v>10</v>
      </c>
      <c r="H69" t="b">
        <v>0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s">
        <v>4</v>
      </c>
      <c r="O69" t="b">
        <v>0</v>
      </c>
      <c r="P69" t="s">
        <v>10</v>
      </c>
      <c r="Q69">
        <v>2</v>
      </c>
    </row>
    <row r="70" spans="1:17">
      <c r="A70" t="s">
        <v>26</v>
      </c>
      <c r="B70">
        <v>12</v>
      </c>
      <c r="C70" t="s">
        <v>182</v>
      </c>
      <c r="D70" t="s">
        <v>128</v>
      </c>
      <c r="E70" t="s">
        <v>183</v>
      </c>
      <c r="F70" t="s">
        <v>35</v>
      </c>
      <c r="G70">
        <v>5</v>
      </c>
      <c r="H70" t="b">
        <v>0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s">
        <v>4</v>
      </c>
      <c r="O70" t="b">
        <v>0</v>
      </c>
      <c r="P70" t="s">
        <v>10</v>
      </c>
      <c r="Q70">
        <v>2</v>
      </c>
    </row>
    <row r="71" spans="1:17">
      <c r="A71" t="s">
        <v>26</v>
      </c>
      <c r="B71">
        <v>13</v>
      </c>
      <c r="C71" t="s">
        <v>184</v>
      </c>
      <c r="D71" t="s">
        <v>128</v>
      </c>
      <c r="E71" t="s">
        <v>185</v>
      </c>
      <c r="F71" t="s">
        <v>35</v>
      </c>
      <c r="G71">
        <v>5</v>
      </c>
      <c r="H71" t="b">
        <v>0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s">
        <v>4</v>
      </c>
      <c r="O71" t="b">
        <v>0</v>
      </c>
      <c r="P71" t="s">
        <v>10</v>
      </c>
      <c r="Q71">
        <v>2</v>
      </c>
    </row>
    <row r="72" spans="1:17">
      <c r="A72" t="s">
        <v>26</v>
      </c>
      <c r="B72">
        <v>14</v>
      </c>
      <c r="C72" t="s">
        <v>186</v>
      </c>
      <c r="D72" t="s">
        <v>128</v>
      </c>
      <c r="E72" t="s">
        <v>187</v>
      </c>
      <c r="F72" t="s">
        <v>35</v>
      </c>
      <c r="G72">
        <v>5</v>
      </c>
      <c r="H72" t="b">
        <v>0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s">
        <v>4</v>
      </c>
      <c r="O72" t="b">
        <v>0</v>
      </c>
      <c r="P72" t="s">
        <v>10</v>
      </c>
      <c r="Q72">
        <v>2</v>
      </c>
    </row>
    <row r="73" spans="1:17">
      <c r="A73" t="s">
        <v>26</v>
      </c>
      <c r="B73">
        <v>15</v>
      </c>
      <c r="C73" t="s">
        <v>188</v>
      </c>
      <c r="D73" t="s">
        <v>128</v>
      </c>
      <c r="E73" t="s">
        <v>189</v>
      </c>
      <c r="F73" t="s">
        <v>35</v>
      </c>
      <c r="G73">
        <v>5</v>
      </c>
      <c r="H73" t="b">
        <v>0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s">
        <v>4</v>
      </c>
      <c r="O73" t="b">
        <v>0</v>
      </c>
      <c r="P73" t="s">
        <v>10</v>
      </c>
      <c r="Q73">
        <v>2</v>
      </c>
    </row>
    <row r="74" spans="1:17">
      <c r="A74" t="s">
        <v>26</v>
      </c>
      <c r="B74">
        <v>16</v>
      </c>
      <c r="C74" t="s">
        <v>190</v>
      </c>
      <c r="D74" t="s">
        <v>128</v>
      </c>
      <c r="E74" t="s">
        <v>191</v>
      </c>
      <c r="F74" t="s">
        <v>35</v>
      </c>
      <c r="G74">
        <v>5</v>
      </c>
      <c r="H74" t="b">
        <v>0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s">
        <v>4</v>
      </c>
      <c r="O74" t="b">
        <v>0</v>
      </c>
      <c r="P74" t="s">
        <v>10</v>
      </c>
      <c r="Q74">
        <v>2</v>
      </c>
    </row>
    <row r="75" spans="1:17">
      <c r="A75" t="s">
        <v>26</v>
      </c>
      <c r="B75">
        <v>17</v>
      </c>
      <c r="C75" t="s">
        <v>192</v>
      </c>
      <c r="D75" t="s">
        <v>128</v>
      </c>
      <c r="E75" t="s">
        <v>193</v>
      </c>
      <c r="F75" t="s">
        <v>36</v>
      </c>
      <c r="G75">
        <v>3</v>
      </c>
      <c r="H75" t="b">
        <v>0</v>
      </c>
      <c r="I75" t="b">
        <v>1</v>
      </c>
      <c r="J75" t="b">
        <v>0</v>
      </c>
      <c r="K75" t="b">
        <v>1</v>
      </c>
      <c r="L75" t="b">
        <v>0</v>
      </c>
      <c r="M75" t="b">
        <v>1</v>
      </c>
      <c r="N75" t="s">
        <v>4</v>
      </c>
      <c r="O75" t="b">
        <v>0</v>
      </c>
      <c r="P75" t="s">
        <v>10</v>
      </c>
      <c r="Q75">
        <v>2</v>
      </c>
    </row>
    <row r="76" spans="1:17">
      <c r="A76" t="s">
        <v>26</v>
      </c>
      <c r="B76">
        <v>18</v>
      </c>
      <c r="C76" t="s">
        <v>194</v>
      </c>
      <c r="D76" t="s">
        <v>128</v>
      </c>
      <c r="E76" t="s">
        <v>195</v>
      </c>
      <c r="F76" t="s">
        <v>35</v>
      </c>
      <c r="G76">
        <v>5</v>
      </c>
      <c r="H76" t="b">
        <v>0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s">
        <v>4</v>
      </c>
      <c r="O76" t="b">
        <v>0</v>
      </c>
      <c r="P76" t="s">
        <v>10</v>
      </c>
      <c r="Q76">
        <v>2</v>
      </c>
    </row>
    <row r="77" spans="1:17">
      <c r="A77" t="s">
        <v>26</v>
      </c>
      <c r="B77">
        <v>19</v>
      </c>
      <c r="C77" t="s">
        <v>196</v>
      </c>
      <c r="D77" t="s">
        <v>128</v>
      </c>
      <c r="E77" t="s">
        <v>197</v>
      </c>
      <c r="F77" t="s">
        <v>36</v>
      </c>
      <c r="G77">
        <v>3</v>
      </c>
      <c r="H77" t="b">
        <v>0</v>
      </c>
      <c r="I77" t="b">
        <v>1</v>
      </c>
      <c r="J77" t="b">
        <v>0</v>
      </c>
      <c r="K77" t="b">
        <v>1</v>
      </c>
      <c r="L77" t="b">
        <v>0</v>
      </c>
      <c r="M77" t="b">
        <v>1</v>
      </c>
      <c r="N77" t="s">
        <v>4</v>
      </c>
      <c r="O77" t="b">
        <v>0</v>
      </c>
      <c r="P77" t="s">
        <v>10</v>
      </c>
      <c r="Q77">
        <v>2</v>
      </c>
    </row>
    <row r="78" spans="1:17">
      <c r="A78" t="s">
        <v>26</v>
      </c>
      <c r="B78">
        <v>20</v>
      </c>
      <c r="C78" t="s">
        <v>198</v>
      </c>
      <c r="D78" t="s">
        <v>128</v>
      </c>
      <c r="E78" t="s">
        <v>199</v>
      </c>
      <c r="F78" t="s">
        <v>35</v>
      </c>
      <c r="G78">
        <v>5</v>
      </c>
      <c r="H78" t="b">
        <v>0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s">
        <v>4</v>
      </c>
      <c r="O78" t="b">
        <v>0</v>
      </c>
      <c r="P78" t="s">
        <v>10</v>
      </c>
      <c r="Q78">
        <v>2</v>
      </c>
    </row>
    <row r="79" spans="1:17">
      <c r="A79" t="s">
        <v>26</v>
      </c>
      <c r="B79">
        <v>21</v>
      </c>
      <c r="C79" t="s">
        <v>200</v>
      </c>
      <c r="D79" t="s">
        <v>128</v>
      </c>
      <c r="E79" t="s">
        <v>201</v>
      </c>
      <c r="F79" t="s">
        <v>35</v>
      </c>
      <c r="G79">
        <v>5</v>
      </c>
      <c r="H79" t="b">
        <v>0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s">
        <v>4</v>
      </c>
      <c r="O79" t="b">
        <v>0</v>
      </c>
      <c r="P79" t="s">
        <v>10</v>
      </c>
      <c r="Q79">
        <v>2</v>
      </c>
    </row>
    <row r="80" spans="1:17">
      <c r="A80" t="s">
        <v>26</v>
      </c>
      <c r="B80">
        <v>22</v>
      </c>
      <c r="C80" t="s">
        <v>202</v>
      </c>
      <c r="D80" t="s">
        <v>203</v>
      </c>
      <c r="E80" t="s">
        <v>203</v>
      </c>
      <c r="F80" t="s">
        <v>53</v>
      </c>
      <c r="G80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s">
        <v>4</v>
      </c>
      <c r="O80" t="b">
        <v>0</v>
      </c>
      <c r="P80" t="s">
        <v>10</v>
      </c>
      <c r="Q80">
        <v>2</v>
      </c>
    </row>
    <row r="81" spans="1:17">
      <c r="A81" t="s">
        <v>26</v>
      </c>
      <c r="B81">
        <v>23</v>
      </c>
      <c r="C81" t="s">
        <v>204</v>
      </c>
      <c r="D81" t="s">
        <v>203</v>
      </c>
      <c r="E81" t="s">
        <v>205</v>
      </c>
      <c r="F81" t="s">
        <v>37</v>
      </c>
      <c r="G81">
        <v>10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s">
        <v>4</v>
      </c>
      <c r="O81" t="b">
        <v>0</v>
      </c>
      <c r="P81" t="s">
        <v>10</v>
      </c>
      <c r="Q81">
        <v>2</v>
      </c>
    </row>
    <row r="82" spans="1:17">
      <c r="A82" t="s">
        <v>26</v>
      </c>
      <c r="B82">
        <v>24</v>
      </c>
      <c r="C82" t="s">
        <v>206</v>
      </c>
      <c r="D82" t="s">
        <v>203</v>
      </c>
      <c r="E82" t="s">
        <v>207</v>
      </c>
      <c r="F82" t="s">
        <v>35</v>
      </c>
      <c r="G82">
        <v>5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s">
        <v>4</v>
      </c>
      <c r="O82" t="b">
        <v>0</v>
      </c>
      <c r="P82" t="s">
        <v>10</v>
      </c>
      <c r="Q82">
        <v>2</v>
      </c>
    </row>
    <row r="83" spans="1:17">
      <c r="A83" t="s">
        <v>27</v>
      </c>
      <c r="B83">
        <v>1</v>
      </c>
      <c r="C83" t="s">
        <v>208</v>
      </c>
      <c r="D83" t="s">
        <v>117</v>
      </c>
      <c r="E83" t="s">
        <v>117</v>
      </c>
      <c r="F83" t="s">
        <v>53</v>
      </c>
      <c r="G83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s">
        <v>4</v>
      </c>
      <c r="O83" t="b">
        <v>0</v>
      </c>
      <c r="P83" t="s">
        <v>10</v>
      </c>
      <c r="Q83">
        <v>3</v>
      </c>
    </row>
    <row r="84" spans="1:17">
      <c r="A84" t="s">
        <v>27</v>
      </c>
      <c r="B84">
        <v>2</v>
      </c>
      <c r="C84" t="s">
        <v>209</v>
      </c>
      <c r="D84" t="s">
        <v>117</v>
      </c>
      <c r="E84" t="s">
        <v>167</v>
      </c>
      <c r="F84" t="s">
        <v>36</v>
      </c>
      <c r="G84">
        <v>3</v>
      </c>
      <c r="H84" t="b">
        <v>0</v>
      </c>
      <c r="I84" t="b">
        <v>1</v>
      </c>
      <c r="J84" t="b">
        <v>0</v>
      </c>
      <c r="K84" t="b">
        <v>1</v>
      </c>
      <c r="L84" t="b">
        <v>0</v>
      </c>
      <c r="M84" t="b">
        <v>1</v>
      </c>
      <c r="N84" t="s">
        <v>4</v>
      </c>
      <c r="O84" t="b">
        <v>0</v>
      </c>
      <c r="P84" t="s">
        <v>10</v>
      </c>
      <c r="Q84">
        <v>3</v>
      </c>
    </row>
    <row r="85" spans="1:17">
      <c r="A85" t="s">
        <v>27</v>
      </c>
      <c r="B85">
        <v>3</v>
      </c>
      <c r="C85" t="s">
        <v>210</v>
      </c>
      <c r="D85" t="s">
        <v>117</v>
      </c>
      <c r="E85" t="s">
        <v>169</v>
      </c>
      <c r="F85" t="s">
        <v>35</v>
      </c>
      <c r="G85">
        <v>5</v>
      </c>
      <c r="H85" t="b">
        <v>0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s">
        <v>4</v>
      </c>
      <c r="O85" t="b">
        <v>0</v>
      </c>
      <c r="P85" t="s">
        <v>10</v>
      </c>
      <c r="Q85">
        <v>3</v>
      </c>
    </row>
    <row r="86" spans="1:17">
      <c r="A86" t="s">
        <v>27</v>
      </c>
      <c r="B86">
        <v>4</v>
      </c>
      <c r="C86" t="s">
        <v>211</v>
      </c>
      <c r="D86" t="s">
        <v>117</v>
      </c>
      <c r="E86" t="s">
        <v>171</v>
      </c>
      <c r="F86" t="s">
        <v>35</v>
      </c>
      <c r="G86">
        <v>5</v>
      </c>
      <c r="H86" t="b">
        <v>0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s">
        <v>4</v>
      </c>
      <c r="O86" t="b">
        <v>0</v>
      </c>
      <c r="P86" t="s">
        <v>10</v>
      </c>
      <c r="Q86">
        <v>3</v>
      </c>
    </row>
    <row r="87" spans="1:17">
      <c r="A87" t="s">
        <v>27</v>
      </c>
      <c r="B87">
        <v>5</v>
      </c>
      <c r="C87" t="s">
        <v>212</v>
      </c>
      <c r="D87" t="s">
        <v>117</v>
      </c>
      <c r="E87" t="s">
        <v>63</v>
      </c>
      <c r="F87" t="s">
        <v>35</v>
      </c>
      <c r="G87">
        <v>5</v>
      </c>
      <c r="H87" t="b">
        <v>0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s">
        <v>4</v>
      </c>
      <c r="O87" t="b">
        <v>0</v>
      </c>
      <c r="P87" t="s">
        <v>10</v>
      </c>
      <c r="Q87">
        <v>3</v>
      </c>
    </row>
    <row r="88" spans="1:17">
      <c r="A88" t="s">
        <v>27</v>
      </c>
      <c r="B88">
        <v>6</v>
      </c>
      <c r="C88" t="s">
        <v>213</v>
      </c>
      <c r="D88" t="s">
        <v>117</v>
      </c>
      <c r="E88" t="s">
        <v>124</v>
      </c>
      <c r="F88" t="s">
        <v>36</v>
      </c>
      <c r="G88">
        <v>3</v>
      </c>
      <c r="H88" t="b">
        <v>1</v>
      </c>
      <c r="I88" t="b">
        <v>1</v>
      </c>
      <c r="J88" t="b">
        <v>0</v>
      </c>
      <c r="K88" t="b">
        <v>1</v>
      </c>
      <c r="L88" t="b">
        <v>0</v>
      </c>
      <c r="M88" t="b">
        <v>1</v>
      </c>
      <c r="N88" t="s">
        <v>4</v>
      </c>
      <c r="O88" t="b">
        <v>0</v>
      </c>
      <c r="P88" t="s">
        <v>10</v>
      </c>
      <c r="Q88">
        <v>3</v>
      </c>
    </row>
    <row r="89" spans="1:17">
      <c r="A89" t="s">
        <v>27</v>
      </c>
      <c r="B89">
        <v>7</v>
      </c>
      <c r="C89" t="s">
        <v>214</v>
      </c>
      <c r="D89" t="s">
        <v>117</v>
      </c>
      <c r="E89" t="s">
        <v>126</v>
      </c>
      <c r="F89" t="s">
        <v>35</v>
      </c>
      <c r="G89">
        <v>5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s">
        <v>4</v>
      </c>
      <c r="O89" t="b">
        <v>0</v>
      </c>
      <c r="P89" t="s">
        <v>10</v>
      </c>
      <c r="Q89">
        <v>3</v>
      </c>
    </row>
    <row r="90" spans="1:17">
      <c r="A90" t="s">
        <v>27</v>
      </c>
      <c r="B90">
        <v>8</v>
      </c>
      <c r="C90" t="s">
        <v>215</v>
      </c>
      <c r="D90" t="s">
        <v>117</v>
      </c>
      <c r="E90" t="s">
        <v>176</v>
      </c>
      <c r="F90" t="s">
        <v>35</v>
      </c>
      <c r="G90">
        <v>5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s">
        <v>4</v>
      </c>
      <c r="O90" t="b">
        <v>0</v>
      </c>
      <c r="P90" t="s">
        <v>10</v>
      </c>
      <c r="Q90">
        <v>3</v>
      </c>
    </row>
    <row r="91" spans="1:17">
      <c r="A91" t="s">
        <v>27</v>
      </c>
      <c r="B91">
        <v>9</v>
      </c>
      <c r="C91" t="s">
        <v>216</v>
      </c>
      <c r="D91" t="s">
        <v>117</v>
      </c>
      <c r="E91" t="s">
        <v>178</v>
      </c>
      <c r="F91" t="s">
        <v>36</v>
      </c>
      <c r="G91">
        <v>3</v>
      </c>
      <c r="H91" t="b">
        <v>1</v>
      </c>
      <c r="I91" t="b">
        <v>1</v>
      </c>
      <c r="J91" t="b">
        <v>0</v>
      </c>
      <c r="K91" t="b">
        <v>1</v>
      </c>
      <c r="L91" t="b">
        <v>0</v>
      </c>
      <c r="M91" t="b">
        <v>1</v>
      </c>
      <c r="N91" t="s">
        <v>4</v>
      </c>
      <c r="O91" t="b">
        <v>0</v>
      </c>
      <c r="P91" t="s">
        <v>10</v>
      </c>
      <c r="Q91">
        <v>3</v>
      </c>
    </row>
    <row r="92" spans="1:17">
      <c r="A92" t="s">
        <v>27</v>
      </c>
      <c r="B92">
        <v>10</v>
      </c>
      <c r="C92" t="s">
        <v>217</v>
      </c>
      <c r="D92" t="s">
        <v>128</v>
      </c>
      <c r="E92" t="s">
        <v>128</v>
      </c>
      <c r="F92" t="s">
        <v>53</v>
      </c>
      <c r="G92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s">
        <v>4</v>
      </c>
      <c r="O92" t="b">
        <v>0</v>
      </c>
      <c r="P92" t="s">
        <v>10</v>
      </c>
      <c r="Q92">
        <v>3</v>
      </c>
    </row>
    <row r="93" spans="1:17">
      <c r="A93" t="s">
        <v>27</v>
      </c>
      <c r="B93">
        <v>11</v>
      </c>
      <c r="C93" t="s">
        <v>218</v>
      </c>
      <c r="D93" t="s">
        <v>128</v>
      </c>
      <c r="E93" t="s">
        <v>219</v>
      </c>
      <c r="F93" t="s">
        <v>35</v>
      </c>
      <c r="G93">
        <v>5</v>
      </c>
      <c r="H93" t="b">
        <v>0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s">
        <v>4</v>
      </c>
      <c r="O93" t="b">
        <v>0</v>
      </c>
      <c r="P93" t="s">
        <v>10</v>
      </c>
      <c r="Q93">
        <v>3</v>
      </c>
    </row>
    <row r="94" spans="1:17">
      <c r="A94" t="s">
        <v>27</v>
      </c>
      <c r="B94">
        <v>12</v>
      </c>
      <c r="C94" t="s">
        <v>220</v>
      </c>
      <c r="D94" t="s">
        <v>128</v>
      </c>
      <c r="E94" t="s">
        <v>221</v>
      </c>
      <c r="F94" t="s">
        <v>36</v>
      </c>
      <c r="G94">
        <v>3</v>
      </c>
      <c r="H94" t="b">
        <v>0</v>
      </c>
      <c r="I94" t="b">
        <v>1</v>
      </c>
      <c r="J94" t="b">
        <v>0</v>
      </c>
      <c r="K94" t="b">
        <v>1</v>
      </c>
      <c r="L94" t="b">
        <v>0</v>
      </c>
      <c r="M94" t="b">
        <v>1</v>
      </c>
      <c r="N94" t="s">
        <v>4</v>
      </c>
      <c r="O94" t="b">
        <v>0</v>
      </c>
      <c r="P94" t="s">
        <v>10</v>
      </c>
      <c r="Q94">
        <v>3</v>
      </c>
    </row>
    <row r="95" spans="1:17">
      <c r="A95" t="s">
        <v>27</v>
      </c>
      <c r="B95">
        <v>13</v>
      </c>
      <c r="C95" t="s">
        <v>222</v>
      </c>
      <c r="D95" t="s">
        <v>128</v>
      </c>
      <c r="E95" t="s">
        <v>223</v>
      </c>
      <c r="F95" t="s">
        <v>36</v>
      </c>
      <c r="G95">
        <v>3</v>
      </c>
      <c r="H95" t="b">
        <v>0</v>
      </c>
      <c r="I95" t="b">
        <v>1</v>
      </c>
      <c r="J95" t="b">
        <v>0</v>
      </c>
      <c r="K95" t="b">
        <v>1</v>
      </c>
      <c r="L95" t="b">
        <v>0</v>
      </c>
      <c r="M95" t="b">
        <v>1</v>
      </c>
      <c r="N95" t="s">
        <v>4</v>
      </c>
      <c r="O95" t="b">
        <v>0</v>
      </c>
      <c r="P95" t="s">
        <v>10</v>
      </c>
      <c r="Q95">
        <v>3</v>
      </c>
    </row>
    <row r="96" spans="1:17">
      <c r="A96" t="s">
        <v>27</v>
      </c>
      <c r="B96">
        <v>14</v>
      </c>
      <c r="C96" t="s">
        <v>224</v>
      </c>
      <c r="D96" t="s">
        <v>128</v>
      </c>
      <c r="E96" t="s">
        <v>225</v>
      </c>
      <c r="F96" t="s">
        <v>36</v>
      </c>
      <c r="G96">
        <v>3</v>
      </c>
      <c r="H96" t="b">
        <v>0</v>
      </c>
      <c r="I96" t="b">
        <v>1</v>
      </c>
      <c r="J96" t="b">
        <v>0</v>
      </c>
      <c r="K96" t="b">
        <v>1</v>
      </c>
      <c r="L96" t="b">
        <v>0</v>
      </c>
      <c r="M96" t="b">
        <v>1</v>
      </c>
      <c r="N96" t="s">
        <v>4</v>
      </c>
      <c r="O96" t="b">
        <v>0</v>
      </c>
      <c r="P96" t="s">
        <v>10</v>
      </c>
      <c r="Q96">
        <v>3</v>
      </c>
    </row>
    <row r="97" spans="1:17">
      <c r="A97" t="s">
        <v>27</v>
      </c>
      <c r="B97">
        <v>15</v>
      </c>
      <c r="C97" t="s">
        <v>226</v>
      </c>
      <c r="D97" t="s">
        <v>128</v>
      </c>
      <c r="E97" t="s">
        <v>227</v>
      </c>
      <c r="F97" t="s">
        <v>35</v>
      </c>
      <c r="G97">
        <v>5</v>
      </c>
      <c r="H97" t="b">
        <v>0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s">
        <v>4</v>
      </c>
      <c r="O97" t="b">
        <v>0</v>
      </c>
      <c r="P97" t="s">
        <v>10</v>
      </c>
      <c r="Q97">
        <v>3</v>
      </c>
    </row>
    <row r="98" spans="1:17">
      <c r="A98" t="s">
        <v>27</v>
      </c>
      <c r="B98">
        <v>16</v>
      </c>
      <c r="C98" t="s">
        <v>228</v>
      </c>
      <c r="D98" t="s">
        <v>128</v>
      </c>
      <c r="E98" t="s">
        <v>229</v>
      </c>
      <c r="F98" t="s">
        <v>35</v>
      </c>
      <c r="G98">
        <v>5</v>
      </c>
      <c r="H98" t="b">
        <v>0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s">
        <v>4</v>
      </c>
      <c r="O98" t="b">
        <v>0</v>
      </c>
      <c r="P98" t="s">
        <v>10</v>
      </c>
      <c r="Q98">
        <v>3</v>
      </c>
    </row>
    <row r="99" spans="1:17">
      <c r="A99" t="s">
        <v>27</v>
      </c>
      <c r="B99">
        <v>17</v>
      </c>
      <c r="C99" t="s">
        <v>230</v>
      </c>
      <c r="D99" t="s">
        <v>128</v>
      </c>
      <c r="E99" t="s">
        <v>195</v>
      </c>
      <c r="F99" t="s">
        <v>36</v>
      </c>
      <c r="G99">
        <v>3</v>
      </c>
      <c r="H99" t="b">
        <v>0</v>
      </c>
      <c r="I99" t="b">
        <v>1</v>
      </c>
      <c r="J99" t="b">
        <v>0</v>
      </c>
      <c r="K99" t="b">
        <v>1</v>
      </c>
      <c r="L99" t="b">
        <v>0</v>
      </c>
      <c r="M99" t="b">
        <v>1</v>
      </c>
      <c r="N99" t="s">
        <v>4</v>
      </c>
      <c r="O99" t="b">
        <v>0</v>
      </c>
      <c r="P99" t="s">
        <v>10</v>
      </c>
      <c r="Q99">
        <v>3</v>
      </c>
    </row>
    <row r="100" spans="1:17">
      <c r="A100" t="s">
        <v>27</v>
      </c>
      <c r="B100">
        <v>18</v>
      </c>
      <c r="C100" t="s">
        <v>231</v>
      </c>
      <c r="D100" t="s">
        <v>128</v>
      </c>
      <c r="E100" t="s">
        <v>232</v>
      </c>
      <c r="F100" t="s">
        <v>35</v>
      </c>
      <c r="G100">
        <v>5</v>
      </c>
      <c r="H100" t="b">
        <v>0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s">
        <v>4</v>
      </c>
      <c r="O100" t="b">
        <v>0</v>
      </c>
      <c r="P100" t="s">
        <v>10</v>
      </c>
      <c r="Q100">
        <v>3</v>
      </c>
    </row>
    <row r="101" spans="1:17">
      <c r="A101" t="s">
        <v>27</v>
      </c>
      <c r="B101">
        <v>19</v>
      </c>
      <c r="C101" t="s">
        <v>233</v>
      </c>
      <c r="D101" t="s">
        <v>128</v>
      </c>
      <c r="E101" t="s">
        <v>234</v>
      </c>
      <c r="F101" t="s">
        <v>35</v>
      </c>
      <c r="G101">
        <v>5</v>
      </c>
      <c r="H101" t="b">
        <v>0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s">
        <v>4</v>
      </c>
      <c r="O101" t="b">
        <v>0</v>
      </c>
      <c r="P101" t="s">
        <v>10</v>
      </c>
      <c r="Q101">
        <v>3</v>
      </c>
    </row>
    <row r="102" spans="1:17">
      <c r="A102" t="s">
        <v>27</v>
      </c>
      <c r="B102">
        <v>20</v>
      </c>
      <c r="C102" t="s">
        <v>235</v>
      </c>
      <c r="D102" t="s">
        <v>128</v>
      </c>
      <c r="E102" t="s">
        <v>236</v>
      </c>
      <c r="F102" t="s">
        <v>35</v>
      </c>
      <c r="G102">
        <v>5</v>
      </c>
      <c r="H102" t="b">
        <v>0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s">
        <v>4</v>
      </c>
      <c r="O102" t="b">
        <v>0</v>
      </c>
      <c r="P102" t="s">
        <v>10</v>
      </c>
      <c r="Q102">
        <v>3</v>
      </c>
    </row>
    <row r="103" spans="1:17">
      <c r="A103" t="s">
        <v>27</v>
      </c>
      <c r="B103">
        <v>21</v>
      </c>
      <c r="C103" t="s">
        <v>237</v>
      </c>
      <c r="D103" t="s">
        <v>128</v>
      </c>
      <c r="E103" t="s">
        <v>238</v>
      </c>
      <c r="F103" t="s">
        <v>35</v>
      </c>
      <c r="G103">
        <v>5</v>
      </c>
      <c r="H103" t="b">
        <v>0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s">
        <v>4</v>
      </c>
      <c r="O103" t="b">
        <v>0</v>
      </c>
      <c r="P103" t="s">
        <v>10</v>
      </c>
      <c r="Q103">
        <v>3</v>
      </c>
    </row>
    <row r="104" spans="1:17">
      <c r="A104" t="s">
        <v>27</v>
      </c>
      <c r="B104">
        <v>22</v>
      </c>
      <c r="C104" t="s">
        <v>239</v>
      </c>
      <c r="D104" t="s">
        <v>128</v>
      </c>
      <c r="E104" t="s">
        <v>240</v>
      </c>
      <c r="F104" t="s">
        <v>37</v>
      </c>
      <c r="G104">
        <v>10</v>
      </c>
      <c r="H104" t="b">
        <v>0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s">
        <v>4</v>
      </c>
      <c r="O104" t="b">
        <v>0</v>
      </c>
      <c r="P104" t="s">
        <v>10</v>
      </c>
      <c r="Q104">
        <v>3</v>
      </c>
    </row>
    <row r="105" spans="1:17">
      <c r="A105" t="s">
        <v>27</v>
      </c>
      <c r="B105">
        <v>23</v>
      </c>
      <c r="C105" t="s">
        <v>241</v>
      </c>
      <c r="D105" t="s">
        <v>128</v>
      </c>
      <c r="E105" t="s">
        <v>201</v>
      </c>
      <c r="F105" t="s">
        <v>35</v>
      </c>
      <c r="G105">
        <v>5</v>
      </c>
      <c r="H105" t="b">
        <v>0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s">
        <v>4</v>
      </c>
      <c r="O105" t="b">
        <v>0</v>
      </c>
      <c r="P105" t="s">
        <v>10</v>
      </c>
      <c r="Q105">
        <v>3</v>
      </c>
    </row>
    <row r="106" spans="1:17">
      <c r="A106" t="s">
        <v>27</v>
      </c>
      <c r="B106">
        <v>24</v>
      </c>
      <c r="C106" t="s">
        <v>242</v>
      </c>
      <c r="D106" t="s">
        <v>203</v>
      </c>
      <c r="E106" t="s">
        <v>203</v>
      </c>
      <c r="F106" t="s">
        <v>53</v>
      </c>
      <c r="G106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s">
        <v>4</v>
      </c>
      <c r="O106" t="b">
        <v>0</v>
      </c>
      <c r="P106" t="s">
        <v>10</v>
      </c>
      <c r="Q106">
        <v>3</v>
      </c>
    </row>
    <row r="107" spans="1:17">
      <c r="A107" t="s">
        <v>27</v>
      </c>
      <c r="B107">
        <v>25</v>
      </c>
      <c r="C107" t="s">
        <v>243</v>
      </c>
      <c r="D107" t="s">
        <v>203</v>
      </c>
      <c r="E107" t="s">
        <v>205</v>
      </c>
      <c r="F107" t="s">
        <v>35</v>
      </c>
      <c r="G107">
        <v>5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s">
        <v>4</v>
      </c>
      <c r="O107" t="b">
        <v>0</v>
      </c>
      <c r="P107" t="s">
        <v>10</v>
      </c>
      <c r="Q107">
        <v>3</v>
      </c>
    </row>
    <row r="108" spans="1:17">
      <c r="A108" t="s">
        <v>27</v>
      </c>
      <c r="B108">
        <v>26</v>
      </c>
      <c r="C108" t="s">
        <v>244</v>
      </c>
      <c r="D108" t="s">
        <v>203</v>
      </c>
      <c r="E108" t="s">
        <v>207</v>
      </c>
      <c r="F108" t="s">
        <v>35</v>
      </c>
      <c r="G108">
        <v>5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s">
        <v>4</v>
      </c>
      <c r="O108" t="b">
        <v>0</v>
      </c>
      <c r="P108" t="s">
        <v>10</v>
      </c>
      <c r="Q108">
        <v>3</v>
      </c>
    </row>
    <row r="109" spans="1:17">
      <c r="A109" t="s">
        <v>28</v>
      </c>
      <c r="B109">
        <v>1</v>
      </c>
      <c r="C109" t="s">
        <v>245</v>
      </c>
      <c r="D109" t="s">
        <v>117</v>
      </c>
      <c r="E109" t="s">
        <v>117</v>
      </c>
      <c r="F109" t="s">
        <v>53</v>
      </c>
      <c r="G109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s">
        <v>4</v>
      </c>
      <c r="O109" t="b">
        <v>0</v>
      </c>
      <c r="P109" t="s">
        <v>10</v>
      </c>
      <c r="Q109">
        <v>4</v>
      </c>
    </row>
    <row r="110" spans="1:17">
      <c r="A110" t="s">
        <v>28</v>
      </c>
      <c r="B110">
        <v>2</v>
      </c>
      <c r="C110" t="s">
        <v>246</v>
      </c>
      <c r="D110" t="s">
        <v>117</v>
      </c>
      <c r="E110" t="s">
        <v>167</v>
      </c>
      <c r="F110" t="s">
        <v>36</v>
      </c>
      <c r="G110">
        <v>3</v>
      </c>
      <c r="H110" t="b">
        <v>0</v>
      </c>
      <c r="I110" t="b">
        <v>1</v>
      </c>
      <c r="J110" t="b">
        <v>0</v>
      </c>
      <c r="K110" t="b">
        <v>1</v>
      </c>
      <c r="L110" t="b">
        <v>0</v>
      </c>
      <c r="M110" t="b">
        <v>1</v>
      </c>
      <c r="N110" t="s">
        <v>4</v>
      </c>
      <c r="O110" t="b">
        <v>0</v>
      </c>
      <c r="P110" t="s">
        <v>10</v>
      </c>
      <c r="Q110">
        <v>4</v>
      </c>
    </row>
    <row r="111" spans="1:17">
      <c r="A111" t="s">
        <v>28</v>
      </c>
      <c r="B111">
        <v>3</v>
      </c>
      <c r="C111" t="s">
        <v>247</v>
      </c>
      <c r="D111" t="s">
        <v>117</v>
      </c>
      <c r="E111" t="s">
        <v>169</v>
      </c>
      <c r="F111" t="s">
        <v>35</v>
      </c>
      <c r="G111">
        <v>5</v>
      </c>
      <c r="H111" t="b">
        <v>0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s">
        <v>4</v>
      </c>
      <c r="O111" t="b">
        <v>0</v>
      </c>
      <c r="P111" t="s">
        <v>10</v>
      </c>
      <c r="Q111">
        <v>4</v>
      </c>
    </row>
    <row r="112" spans="1:17">
      <c r="A112" t="s">
        <v>28</v>
      </c>
      <c r="B112">
        <v>4</v>
      </c>
      <c r="C112" t="s">
        <v>248</v>
      </c>
      <c r="D112" t="s">
        <v>117</v>
      </c>
      <c r="E112" t="s">
        <v>171</v>
      </c>
      <c r="F112" t="s">
        <v>35</v>
      </c>
      <c r="G112">
        <v>5</v>
      </c>
      <c r="H112" t="b">
        <v>0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s">
        <v>4</v>
      </c>
      <c r="O112" t="b">
        <v>0</v>
      </c>
      <c r="P112" t="s">
        <v>10</v>
      </c>
      <c r="Q112">
        <v>4</v>
      </c>
    </row>
    <row r="113" spans="1:17">
      <c r="A113" t="s">
        <v>28</v>
      </c>
      <c r="B113">
        <v>5</v>
      </c>
      <c r="C113" t="s">
        <v>249</v>
      </c>
      <c r="D113" t="s">
        <v>117</v>
      </c>
      <c r="E113" t="s">
        <v>63</v>
      </c>
      <c r="F113" t="s">
        <v>35</v>
      </c>
      <c r="G113">
        <v>5</v>
      </c>
      <c r="H113" t="b">
        <v>0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s">
        <v>4</v>
      </c>
      <c r="O113" t="b">
        <v>0</v>
      </c>
      <c r="P113" t="s">
        <v>10</v>
      </c>
      <c r="Q113">
        <v>4</v>
      </c>
    </row>
    <row r="114" spans="1:17">
      <c r="A114" t="s">
        <v>28</v>
      </c>
      <c r="B114">
        <v>6</v>
      </c>
      <c r="C114" t="s">
        <v>250</v>
      </c>
      <c r="D114" t="s">
        <v>117</v>
      </c>
      <c r="E114" t="s">
        <v>124</v>
      </c>
      <c r="F114" t="s">
        <v>36</v>
      </c>
      <c r="G114">
        <v>3</v>
      </c>
      <c r="H114" t="b">
        <v>1</v>
      </c>
      <c r="I114" t="b">
        <v>1</v>
      </c>
      <c r="J114" t="b">
        <v>0</v>
      </c>
      <c r="K114" t="b">
        <v>1</v>
      </c>
      <c r="L114" t="b">
        <v>0</v>
      </c>
      <c r="M114" t="b">
        <v>1</v>
      </c>
      <c r="N114" t="s">
        <v>4</v>
      </c>
      <c r="O114" t="b">
        <v>0</v>
      </c>
      <c r="P114" t="s">
        <v>10</v>
      </c>
      <c r="Q114">
        <v>4</v>
      </c>
    </row>
    <row r="115" spans="1:17">
      <c r="A115" t="s">
        <v>28</v>
      </c>
      <c r="B115">
        <v>7</v>
      </c>
      <c r="C115" t="s">
        <v>251</v>
      </c>
      <c r="D115" t="s">
        <v>117</v>
      </c>
      <c r="E115" t="s">
        <v>126</v>
      </c>
      <c r="F115" t="s">
        <v>35</v>
      </c>
      <c r="G115">
        <v>5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s">
        <v>4</v>
      </c>
      <c r="O115" t="b">
        <v>0</v>
      </c>
      <c r="P115" t="s">
        <v>10</v>
      </c>
      <c r="Q115">
        <v>4</v>
      </c>
    </row>
    <row r="116" spans="1:17">
      <c r="A116" t="s">
        <v>28</v>
      </c>
      <c r="B116">
        <v>8</v>
      </c>
      <c r="C116" t="s">
        <v>252</v>
      </c>
      <c r="D116" t="s">
        <v>117</v>
      </c>
      <c r="E116" t="s">
        <v>176</v>
      </c>
      <c r="F116" t="s">
        <v>35</v>
      </c>
      <c r="G116">
        <v>5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s">
        <v>4</v>
      </c>
      <c r="O116" t="b">
        <v>0</v>
      </c>
      <c r="P116" t="s">
        <v>10</v>
      </c>
      <c r="Q116">
        <v>4</v>
      </c>
    </row>
    <row r="117" spans="1:17">
      <c r="A117" t="s">
        <v>28</v>
      </c>
      <c r="B117">
        <v>9</v>
      </c>
      <c r="C117" t="s">
        <v>253</v>
      </c>
      <c r="D117" t="s">
        <v>117</v>
      </c>
      <c r="E117" t="s">
        <v>178</v>
      </c>
      <c r="F117" t="s">
        <v>36</v>
      </c>
      <c r="G117">
        <v>3</v>
      </c>
      <c r="H117" t="b">
        <v>1</v>
      </c>
      <c r="I117" t="b">
        <v>1</v>
      </c>
      <c r="J117" t="b">
        <v>0</v>
      </c>
      <c r="K117" t="b">
        <v>1</v>
      </c>
      <c r="L117" t="b">
        <v>0</v>
      </c>
      <c r="M117" t="b">
        <v>1</v>
      </c>
      <c r="N117" t="s">
        <v>4</v>
      </c>
      <c r="O117" t="b">
        <v>0</v>
      </c>
      <c r="P117" t="s">
        <v>10</v>
      </c>
      <c r="Q117">
        <v>4</v>
      </c>
    </row>
    <row r="118" spans="1:17">
      <c r="A118" t="s">
        <v>28</v>
      </c>
      <c r="B118">
        <v>10</v>
      </c>
      <c r="C118" t="s">
        <v>254</v>
      </c>
      <c r="D118" t="s">
        <v>128</v>
      </c>
      <c r="E118" t="s">
        <v>128</v>
      </c>
      <c r="F118" t="s">
        <v>53</v>
      </c>
      <c r="G118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s">
        <v>4</v>
      </c>
      <c r="O118" t="b">
        <v>0</v>
      </c>
      <c r="P118" t="s">
        <v>10</v>
      </c>
      <c r="Q118">
        <v>4</v>
      </c>
    </row>
    <row r="119" spans="1:17">
      <c r="A119" t="s">
        <v>28</v>
      </c>
      <c r="B119">
        <v>11</v>
      </c>
      <c r="C119" t="s">
        <v>255</v>
      </c>
      <c r="D119" t="s">
        <v>128</v>
      </c>
      <c r="E119" t="s">
        <v>256</v>
      </c>
      <c r="F119" t="s">
        <v>35</v>
      </c>
      <c r="G119">
        <v>5</v>
      </c>
      <c r="H119" t="b">
        <v>0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s">
        <v>4</v>
      </c>
      <c r="O119" t="b">
        <v>0</v>
      </c>
      <c r="P119" t="s">
        <v>10</v>
      </c>
      <c r="Q119">
        <v>4</v>
      </c>
    </row>
    <row r="120" spans="1:17">
      <c r="A120" t="s">
        <v>28</v>
      </c>
      <c r="B120">
        <v>12</v>
      </c>
      <c r="C120" t="s">
        <v>257</v>
      </c>
      <c r="D120" t="s">
        <v>128</v>
      </c>
      <c r="E120" t="s">
        <v>258</v>
      </c>
      <c r="F120" t="s">
        <v>35</v>
      </c>
      <c r="G120">
        <v>5</v>
      </c>
      <c r="H120" t="b">
        <v>0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s">
        <v>4</v>
      </c>
      <c r="O120" t="b">
        <v>0</v>
      </c>
      <c r="P120" t="s">
        <v>10</v>
      </c>
      <c r="Q120">
        <v>4</v>
      </c>
    </row>
    <row r="121" spans="1:17">
      <c r="A121" t="s">
        <v>28</v>
      </c>
      <c r="B121">
        <v>13</v>
      </c>
      <c r="C121" t="s">
        <v>259</v>
      </c>
      <c r="D121" t="s">
        <v>128</v>
      </c>
      <c r="E121" t="s">
        <v>187</v>
      </c>
      <c r="F121" t="s">
        <v>35</v>
      </c>
      <c r="G121">
        <v>5</v>
      </c>
      <c r="H121" t="b">
        <v>0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s">
        <v>4</v>
      </c>
      <c r="O121" t="b">
        <v>0</v>
      </c>
      <c r="P121" t="s">
        <v>10</v>
      </c>
      <c r="Q121">
        <v>4</v>
      </c>
    </row>
    <row r="122" spans="1:17">
      <c r="A122" t="s">
        <v>28</v>
      </c>
      <c r="B122">
        <v>14</v>
      </c>
      <c r="C122" t="s">
        <v>260</v>
      </c>
      <c r="D122" t="s">
        <v>128</v>
      </c>
      <c r="E122" t="s">
        <v>261</v>
      </c>
      <c r="F122" t="s">
        <v>35</v>
      </c>
      <c r="G122">
        <v>5</v>
      </c>
      <c r="H122" t="b">
        <v>0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s">
        <v>4</v>
      </c>
      <c r="O122" t="b">
        <v>0</v>
      </c>
      <c r="P122" t="s">
        <v>10</v>
      </c>
      <c r="Q122">
        <v>4</v>
      </c>
    </row>
    <row r="123" spans="1:17">
      <c r="A123" t="s">
        <v>28</v>
      </c>
      <c r="B123">
        <v>15</v>
      </c>
      <c r="C123" t="s">
        <v>262</v>
      </c>
      <c r="D123" t="s">
        <v>128</v>
      </c>
      <c r="E123" t="s">
        <v>263</v>
      </c>
      <c r="F123" t="s">
        <v>35</v>
      </c>
      <c r="G123">
        <v>5</v>
      </c>
      <c r="H123" t="b">
        <v>0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s">
        <v>4</v>
      </c>
      <c r="O123" t="b">
        <v>0</v>
      </c>
      <c r="P123" t="s">
        <v>10</v>
      </c>
      <c r="Q123">
        <v>4</v>
      </c>
    </row>
    <row r="124" spans="1:17">
      <c r="A124" t="s">
        <v>28</v>
      </c>
      <c r="B124">
        <v>16</v>
      </c>
      <c r="C124" t="s">
        <v>264</v>
      </c>
      <c r="D124" t="s">
        <v>128</v>
      </c>
      <c r="E124" t="s">
        <v>265</v>
      </c>
      <c r="F124" t="s">
        <v>35</v>
      </c>
      <c r="G124">
        <v>5</v>
      </c>
      <c r="H124" t="b">
        <v>0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s">
        <v>4</v>
      </c>
      <c r="O124" t="b">
        <v>0</v>
      </c>
      <c r="P124" t="s">
        <v>10</v>
      </c>
      <c r="Q124">
        <v>4</v>
      </c>
    </row>
    <row r="125" spans="1:17">
      <c r="A125" t="s">
        <v>28</v>
      </c>
      <c r="B125">
        <v>17</v>
      </c>
      <c r="C125" t="s">
        <v>266</v>
      </c>
      <c r="D125" t="s">
        <v>128</v>
      </c>
      <c r="E125" t="s">
        <v>191</v>
      </c>
      <c r="F125" t="s">
        <v>35</v>
      </c>
      <c r="G125">
        <v>5</v>
      </c>
      <c r="H125" t="b">
        <v>0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s">
        <v>4</v>
      </c>
      <c r="O125" t="b">
        <v>0</v>
      </c>
      <c r="P125" t="s">
        <v>10</v>
      </c>
      <c r="Q125">
        <v>4</v>
      </c>
    </row>
    <row r="126" spans="1:17">
      <c r="A126" t="s">
        <v>28</v>
      </c>
      <c r="B126">
        <v>18</v>
      </c>
      <c r="C126" t="s">
        <v>267</v>
      </c>
      <c r="D126" t="s">
        <v>128</v>
      </c>
      <c r="E126" t="s">
        <v>268</v>
      </c>
      <c r="F126" t="s">
        <v>36</v>
      </c>
      <c r="G126">
        <v>3</v>
      </c>
      <c r="H126" t="b">
        <v>0</v>
      </c>
      <c r="I126" t="b">
        <v>1</v>
      </c>
      <c r="J126" t="b">
        <v>0</v>
      </c>
      <c r="K126" t="b">
        <v>1</v>
      </c>
      <c r="L126" t="b">
        <v>0</v>
      </c>
      <c r="M126" t="b">
        <v>1</v>
      </c>
      <c r="N126" t="s">
        <v>4</v>
      </c>
      <c r="O126" t="b">
        <v>0</v>
      </c>
      <c r="P126" t="s">
        <v>10</v>
      </c>
      <c r="Q126">
        <v>4</v>
      </c>
    </row>
    <row r="127" spans="1:17">
      <c r="A127" t="s">
        <v>28</v>
      </c>
      <c r="B127">
        <v>19</v>
      </c>
      <c r="C127" t="s">
        <v>269</v>
      </c>
      <c r="D127" t="s">
        <v>128</v>
      </c>
      <c r="E127" t="s">
        <v>238</v>
      </c>
      <c r="F127" t="s">
        <v>36</v>
      </c>
      <c r="G127">
        <v>3</v>
      </c>
      <c r="H127" t="b">
        <v>0</v>
      </c>
      <c r="I127" t="b">
        <v>1</v>
      </c>
      <c r="J127" t="b">
        <v>0</v>
      </c>
      <c r="K127" t="b">
        <v>1</v>
      </c>
      <c r="L127" t="b">
        <v>0</v>
      </c>
      <c r="M127" t="b">
        <v>1</v>
      </c>
      <c r="N127" t="s">
        <v>4</v>
      </c>
      <c r="O127" t="b">
        <v>0</v>
      </c>
      <c r="P127" t="s">
        <v>10</v>
      </c>
      <c r="Q127">
        <v>4</v>
      </c>
    </row>
    <row r="128" spans="1:17">
      <c r="A128" t="s">
        <v>28</v>
      </c>
      <c r="B128">
        <v>20</v>
      </c>
      <c r="C128" t="s">
        <v>270</v>
      </c>
      <c r="D128" t="s">
        <v>128</v>
      </c>
      <c r="E128" t="s">
        <v>271</v>
      </c>
      <c r="F128" t="s">
        <v>35</v>
      </c>
      <c r="G128">
        <v>5</v>
      </c>
      <c r="H128" t="b">
        <v>0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s">
        <v>4</v>
      </c>
      <c r="O128" t="b">
        <v>0</v>
      </c>
      <c r="P128" t="s">
        <v>10</v>
      </c>
      <c r="Q128">
        <v>4</v>
      </c>
    </row>
    <row r="129" spans="1:17">
      <c r="A129" t="s">
        <v>28</v>
      </c>
      <c r="B129">
        <v>21</v>
      </c>
      <c r="C129" t="s">
        <v>272</v>
      </c>
      <c r="D129" t="s">
        <v>128</v>
      </c>
      <c r="E129" t="s">
        <v>273</v>
      </c>
      <c r="F129" t="s">
        <v>36</v>
      </c>
      <c r="G129">
        <v>3</v>
      </c>
      <c r="H129" t="b">
        <v>0</v>
      </c>
      <c r="I129" t="b">
        <v>1</v>
      </c>
      <c r="J129" t="b">
        <v>0</v>
      </c>
      <c r="K129" t="b">
        <v>1</v>
      </c>
      <c r="L129" t="b">
        <v>0</v>
      </c>
      <c r="M129" t="b">
        <v>1</v>
      </c>
      <c r="N129" t="s">
        <v>4</v>
      </c>
      <c r="O129" t="b">
        <v>0</v>
      </c>
      <c r="P129" t="s">
        <v>10</v>
      </c>
      <c r="Q129">
        <v>4</v>
      </c>
    </row>
    <row r="130" spans="1:17">
      <c r="A130" t="s">
        <v>28</v>
      </c>
      <c r="B130">
        <v>22</v>
      </c>
      <c r="C130" t="s">
        <v>274</v>
      </c>
      <c r="D130" t="s">
        <v>203</v>
      </c>
      <c r="E130" t="s">
        <v>203</v>
      </c>
      <c r="F130" t="s">
        <v>53</v>
      </c>
      <c r="G130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s">
        <v>4</v>
      </c>
      <c r="O130" t="b">
        <v>0</v>
      </c>
      <c r="P130" t="s">
        <v>10</v>
      </c>
      <c r="Q130">
        <v>4</v>
      </c>
    </row>
    <row r="131" spans="1:17">
      <c r="A131" t="s">
        <v>28</v>
      </c>
      <c r="B131">
        <v>23</v>
      </c>
      <c r="C131" t="s">
        <v>275</v>
      </c>
      <c r="D131" t="s">
        <v>203</v>
      </c>
      <c r="E131" t="s">
        <v>205</v>
      </c>
      <c r="F131" t="s">
        <v>35</v>
      </c>
      <c r="G131">
        <v>5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s">
        <v>4</v>
      </c>
      <c r="O131" t="b">
        <v>0</v>
      </c>
      <c r="P131" t="s">
        <v>10</v>
      </c>
      <c r="Q131">
        <v>4</v>
      </c>
    </row>
    <row r="132" spans="1:17">
      <c r="A132" t="s">
        <v>28</v>
      </c>
      <c r="B132">
        <v>24</v>
      </c>
      <c r="C132" t="s">
        <v>276</v>
      </c>
      <c r="D132" t="s">
        <v>203</v>
      </c>
      <c r="E132" t="s">
        <v>207</v>
      </c>
      <c r="F132" t="s">
        <v>37</v>
      </c>
      <c r="G132">
        <v>10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s">
        <v>4</v>
      </c>
      <c r="O132" t="b">
        <v>0</v>
      </c>
      <c r="P132" t="s">
        <v>10</v>
      </c>
      <c r="Q132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39"/>
  <sheetViews>
    <sheetView topLeftCell="A546" workbookViewId="0"/>
  </sheetViews>
  <sheetFormatPr defaultRowHeight="15"/>
  <cols>
    <col min="1" max="1" width="11.85546875" bestFit="1" customWidth="1"/>
    <col min="2" max="2" width="15.85546875" bestFit="1" customWidth="1"/>
    <col min="3" max="3" width="15.85546875" customWidth="1"/>
    <col min="4" max="4" width="13.5703125" bestFit="1" customWidth="1"/>
    <col min="5" max="5" width="19.5703125" bestFit="1" customWidth="1"/>
    <col min="6" max="9" width="13.5703125" customWidth="1"/>
    <col min="10" max="10" width="39.5703125" bestFit="1" customWidth="1"/>
  </cols>
  <sheetData>
    <row r="1" spans="1:10">
      <c r="A1" t="s">
        <v>40</v>
      </c>
      <c r="B1" t="s">
        <v>277</v>
      </c>
      <c r="C1" t="s">
        <v>278</v>
      </c>
      <c r="D1" t="s">
        <v>12</v>
      </c>
      <c r="E1" t="s">
        <v>279</v>
      </c>
      <c r="F1" t="s">
        <v>280</v>
      </c>
      <c r="G1" t="s">
        <v>17</v>
      </c>
      <c r="H1" t="s">
        <v>281</v>
      </c>
      <c r="I1" t="s">
        <v>16</v>
      </c>
      <c r="J1" t="s">
        <v>282</v>
      </c>
    </row>
    <row r="2" spans="1:10">
      <c r="A2" t="s">
        <v>54</v>
      </c>
      <c r="B2" t="s">
        <v>283</v>
      </c>
      <c r="C2">
        <v>1</v>
      </c>
      <c r="D2">
        <v>4</v>
      </c>
      <c r="E2" s="30">
        <v>46130.609149120399</v>
      </c>
      <c r="F2" t="s">
        <v>284</v>
      </c>
      <c r="G2" t="s">
        <v>24</v>
      </c>
      <c r="H2" t="b">
        <v>1</v>
      </c>
      <c r="I2">
        <v>0</v>
      </c>
    </row>
    <row r="3" spans="1:10">
      <c r="A3" t="s">
        <v>58</v>
      </c>
      <c r="B3" t="s">
        <v>285</v>
      </c>
      <c r="C3">
        <v>1</v>
      </c>
      <c r="D3">
        <v>4</v>
      </c>
      <c r="E3" s="30">
        <v>46130.609149120399</v>
      </c>
      <c r="F3" t="s">
        <v>284</v>
      </c>
      <c r="G3" t="s">
        <v>24</v>
      </c>
      <c r="H3" t="b">
        <v>1</v>
      </c>
      <c r="I3">
        <v>0</v>
      </c>
    </row>
    <row r="4" spans="1:10">
      <c r="A4" t="s">
        <v>64</v>
      </c>
      <c r="B4" t="s">
        <v>286</v>
      </c>
      <c r="C4">
        <v>1</v>
      </c>
      <c r="D4">
        <v>4</v>
      </c>
      <c r="E4" s="30">
        <v>46130.609149120399</v>
      </c>
      <c r="F4" t="s">
        <v>284</v>
      </c>
      <c r="G4" t="s">
        <v>24</v>
      </c>
      <c r="H4" t="b">
        <v>1</v>
      </c>
      <c r="I4">
        <v>0</v>
      </c>
    </row>
    <row r="5" spans="1:10">
      <c r="A5" t="s">
        <v>66</v>
      </c>
      <c r="B5" t="s">
        <v>287</v>
      </c>
      <c r="C5">
        <v>1</v>
      </c>
      <c r="D5">
        <v>4</v>
      </c>
      <c r="E5" s="30">
        <v>46130.609149120399</v>
      </c>
      <c r="F5" t="s">
        <v>284</v>
      </c>
      <c r="G5" t="s">
        <v>24</v>
      </c>
      <c r="H5" t="b">
        <v>1</v>
      </c>
      <c r="I5">
        <v>0</v>
      </c>
    </row>
    <row r="6" spans="1:10">
      <c r="A6" t="s">
        <v>70</v>
      </c>
      <c r="B6" t="s">
        <v>288</v>
      </c>
      <c r="C6">
        <v>1</v>
      </c>
      <c r="D6">
        <v>3</v>
      </c>
      <c r="E6" s="30">
        <v>46130.609149120399</v>
      </c>
      <c r="F6" t="s">
        <v>284</v>
      </c>
      <c r="G6" t="s">
        <v>24</v>
      </c>
      <c r="H6" t="b">
        <v>1</v>
      </c>
      <c r="I6">
        <v>0</v>
      </c>
    </row>
    <row r="7" spans="1:10">
      <c r="A7" t="s">
        <v>72</v>
      </c>
      <c r="B7" t="s">
        <v>289</v>
      </c>
      <c r="C7">
        <v>1</v>
      </c>
      <c r="D7">
        <v>5</v>
      </c>
      <c r="E7" s="30">
        <v>46130.609149120399</v>
      </c>
      <c r="F7" t="s">
        <v>284</v>
      </c>
      <c r="G7" t="s">
        <v>24</v>
      </c>
      <c r="H7" t="b">
        <v>1</v>
      </c>
      <c r="I7">
        <v>0</v>
      </c>
    </row>
    <row r="8" spans="1:10">
      <c r="A8" t="s">
        <v>74</v>
      </c>
      <c r="B8" t="s">
        <v>290</v>
      </c>
      <c r="C8">
        <v>1</v>
      </c>
      <c r="D8">
        <v>1</v>
      </c>
      <c r="E8" s="30">
        <v>46130.609149120399</v>
      </c>
      <c r="F8" t="s">
        <v>284</v>
      </c>
      <c r="G8" t="s">
        <v>24</v>
      </c>
      <c r="H8" t="b">
        <v>1</v>
      </c>
      <c r="I8">
        <v>0</v>
      </c>
    </row>
    <row r="9" spans="1:10">
      <c r="A9" t="s">
        <v>76</v>
      </c>
      <c r="B9" t="s">
        <v>291</v>
      </c>
      <c r="C9">
        <v>1</v>
      </c>
      <c r="D9">
        <v>4</v>
      </c>
      <c r="E9" s="30">
        <v>46130.609149120399</v>
      </c>
      <c r="F9" t="s">
        <v>284</v>
      </c>
      <c r="G9" t="s">
        <v>24</v>
      </c>
      <c r="H9" t="b">
        <v>1</v>
      </c>
      <c r="I9">
        <v>0</v>
      </c>
    </row>
    <row r="10" spans="1:10">
      <c r="A10" t="s">
        <v>78</v>
      </c>
      <c r="B10" t="s">
        <v>292</v>
      </c>
      <c r="C10">
        <v>1</v>
      </c>
      <c r="D10">
        <v>3</v>
      </c>
      <c r="E10" s="30">
        <v>46130.609149120399</v>
      </c>
      <c r="F10" t="s">
        <v>284</v>
      </c>
      <c r="G10" t="s">
        <v>24</v>
      </c>
      <c r="H10" t="b">
        <v>1</v>
      </c>
      <c r="I10">
        <v>0</v>
      </c>
    </row>
    <row r="11" spans="1:10">
      <c r="A11" t="s">
        <v>80</v>
      </c>
      <c r="B11" t="s">
        <v>293</v>
      </c>
      <c r="C11">
        <v>1</v>
      </c>
      <c r="D11">
        <v>3</v>
      </c>
      <c r="E11" s="30">
        <v>46130.609149120399</v>
      </c>
      <c r="F11" t="s">
        <v>284</v>
      </c>
      <c r="G11" t="s">
        <v>24</v>
      </c>
      <c r="H11" t="b">
        <v>1</v>
      </c>
      <c r="I11">
        <v>0</v>
      </c>
    </row>
    <row r="12" spans="1:10">
      <c r="A12" t="s">
        <v>82</v>
      </c>
      <c r="B12" t="s">
        <v>294</v>
      </c>
      <c r="C12">
        <v>1</v>
      </c>
      <c r="D12">
        <v>3</v>
      </c>
      <c r="E12" s="30">
        <v>46130.609149120399</v>
      </c>
      <c r="F12" t="s">
        <v>284</v>
      </c>
      <c r="G12" t="s">
        <v>24</v>
      </c>
      <c r="H12" t="b">
        <v>1</v>
      </c>
      <c r="I12">
        <v>0</v>
      </c>
    </row>
    <row r="13" spans="1:10">
      <c r="A13" t="s">
        <v>84</v>
      </c>
      <c r="B13" t="s">
        <v>295</v>
      </c>
      <c r="C13">
        <v>1</v>
      </c>
      <c r="D13">
        <v>3</v>
      </c>
      <c r="E13" s="30">
        <v>46130.609149120399</v>
      </c>
      <c r="F13" t="s">
        <v>284</v>
      </c>
      <c r="G13" t="s">
        <v>24</v>
      </c>
      <c r="H13" t="b">
        <v>1</v>
      </c>
      <c r="I13">
        <v>0</v>
      </c>
    </row>
    <row r="14" spans="1:10">
      <c r="A14" t="s">
        <v>86</v>
      </c>
      <c r="B14" t="s">
        <v>296</v>
      </c>
      <c r="C14">
        <v>1</v>
      </c>
      <c r="D14">
        <v>0</v>
      </c>
      <c r="E14" s="30">
        <v>46130.609149120399</v>
      </c>
      <c r="F14" t="s">
        <v>284</v>
      </c>
      <c r="G14" t="s">
        <v>24</v>
      </c>
      <c r="H14" t="b">
        <v>1</v>
      </c>
      <c r="I14">
        <v>0</v>
      </c>
    </row>
    <row r="15" spans="1:10">
      <c r="A15" t="s">
        <v>88</v>
      </c>
      <c r="B15" t="s">
        <v>297</v>
      </c>
      <c r="C15">
        <v>1</v>
      </c>
      <c r="D15">
        <v>4</v>
      </c>
      <c r="E15" s="30">
        <v>46130.609149120399</v>
      </c>
      <c r="F15" t="s">
        <v>284</v>
      </c>
      <c r="G15" t="s">
        <v>24</v>
      </c>
      <c r="H15" t="b">
        <v>1</v>
      </c>
      <c r="I15">
        <v>0</v>
      </c>
    </row>
    <row r="16" spans="1:10">
      <c r="A16" t="s">
        <v>92</v>
      </c>
      <c r="B16" t="s">
        <v>298</v>
      </c>
      <c r="C16">
        <v>1</v>
      </c>
      <c r="D16">
        <v>4</v>
      </c>
      <c r="E16" s="30">
        <v>46130.609149120399</v>
      </c>
      <c r="F16" t="s">
        <v>284</v>
      </c>
      <c r="G16" t="s">
        <v>24</v>
      </c>
      <c r="H16" t="b">
        <v>1</v>
      </c>
      <c r="I16">
        <v>0</v>
      </c>
    </row>
    <row r="17" spans="1:9">
      <c r="A17" t="s">
        <v>94</v>
      </c>
      <c r="B17" t="s">
        <v>299</v>
      </c>
      <c r="C17">
        <v>1</v>
      </c>
      <c r="D17">
        <v>4</v>
      </c>
      <c r="E17" s="30">
        <v>46130.609149120399</v>
      </c>
      <c r="F17" t="s">
        <v>284</v>
      </c>
      <c r="G17" t="s">
        <v>24</v>
      </c>
      <c r="H17" t="b">
        <v>1</v>
      </c>
      <c r="I17">
        <v>0</v>
      </c>
    </row>
    <row r="18" spans="1:9">
      <c r="A18" t="s">
        <v>96</v>
      </c>
      <c r="B18" t="s">
        <v>300</v>
      </c>
      <c r="C18">
        <v>1</v>
      </c>
      <c r="D18">
        <v>4</v>
      </c>
      <c r="E18" s="30">
        <v>46130.609149120399</v>
      </c>
      <c r="F18" t="s">
        <v>284</v>
      </c>
      <c r="G18" t="s">
        <v>24</v>
      </c>
      <c r="H18" t="b">
        <v>1</v>
      </c>
      <c r="I18">
        <v>0</v>
      </c>
    </row>
    <row r="19" spans="1:9">
      <c r="A19" t="s">
        <v>98</v>
      </c>
      <c r="B19" t="s">
        <v>301</v>
      </c>
      <c r="C19">
        <v>1</v>
      </c>
      <c r="D19">
        <v>4</v>
      </c>
      <c r="E19" s="30">
        <v>46130.609149120399</v>
      </c>
      <c r="F19" t="s">
        <v>284</v>
      </c>
      <c r="G19" t="s">
        <v>24</v>
      </c>
      <c r="H19" t="b">
        <v>1</v>
      </c>
      <c r="I19">
        <v>0</v>
      </c>
    </row>
    <row r="20" spans="1:9">
      <c r="A20" t="s">
        <v>100</v>
      </c>
      <c r="B20" t="s">
        <v>302</v>
      </c>
      <c r="C20">
        <v>1</v>
      </c>
      <c r="D20">
        <v>4</v>
      </c>
      <c r="E20" s="30">
        <v>46130.609149120399</v>
      </c>
      <c r="F20" t="s">
        <v>284</v>
      </c>
      <c r="G20" t="s">
        <v>24</v>
      </c>
      <c r="H20" t="b">
        <v>1</v>
      </c>
      <c r="I20">
        <v>0</v>
      </c>
    </row>
    <row r="21" spans="1:9">
      <c r="A21" t="s">
        <v>102</v>
      </c>
      <c r="B21" t="s">
        <v>303</v>
      </c>
      <c r="C21">
        <v>1</v>
      </c>
      <c r="D21">
        <v>4</v>
      </c>
      <c r="E21" s="30">
        <v>46130.609149120399</v>
      </c>
      <c r="F21" t="s">
        <v>284</v>
      </c>
      <c r="G21" t="s">
        <v>24</v>
      </c>
      <c r="H21" t="b">
        <v>1</v>
      </c>
      <c r="I21">
        <v>0</v>
      </c>
    </row>
    <row r="22" spans="1:9">
      <c r="A22" t="s">
        <v>104</v>
      </c>
      <c r="B22" t="s">
        <v>304</v>
      </c>
      <c r="C22">
        <v>1</v>
      </c>
      <c r="D22">
        <v>4</v>
      </c>
      <c r="E22" s="30">
        <v>46130.609149120399</v>
      </c>
      <c r="F22" t="s">
        <v>284</v>
      </c>
      <c r="G22" t="s">
        <v>24</v>
      </c>
      <c r="H22" t="b">
        <v>1</v>
      </c>
      <c r="I22">
        <v>0</v>
      </c>
    </row>
    <row r="23" spans="1:9">
      <c r="A23" t="s">
        <v>108</v>
      </c>
      <c r="B23" t="s">
        <v>305</v>
      </c>
      <c r="C23">
        <v>1</v>
      </c>
      <c r="D23">
        <v>3</v>
      </c>
      <c r="E23" s="30">
        <v>46130.609149120399</v>
      </c>
      <c r="F23" t="s">
        <v>284</v>
      </c>
      <c r="G23" t="s">
        <v>24</v>
      </c>
      <c r="H23" t="b">
        <v>1</v>
      </c>
      <c r="I23">
        <v>0</v>
      </c>
    </row>
    <row r="24" spans="1:9">
      <c r="A24" t="s">
        <v>110</v>
      </c>
      <c r="B24" t="s">
        <v>306</v>
      </c>
      <c r="C24">
        <v>1</v>
      </c>
      <c r="D24">
        <v>8</v>
      </c>
      <c r="E24" s="30">
        <v>46130.609149120399</v>
      </c>
      <c r="F24" t="s">
        <v>284</v>
      </c>
      <c r="G24" t="s">
        <v>24</v>
      </c>
      <c r="H24" t="b">
        <v>1</v>
      </c>
      <c r="I24">
        <v>0</v>
      </c>
    </row>
    <row r="25" spans="1:9">
      <c r="A25" t="s">
        <v>114</v>
      </c>
      <c r="B25" t="s">
        <v>307</v>
      </c>
      <c r="C25">
        <v>1</v>
      </c>
      <c r="D25">
        <v>8</v>
      </c>
      <c r="E25" s="30">
        <v>46130.609149120399</v>
      </c>
      <c r="F25" t="s">
        <v>284</v>
      </c>
      <c r="G25" t="s">
        <v>24</v>
      </c>
      <c r="H25" t="b">
        <v>1</v>
      </c>
      <c r="I25">
        <v>0</v>
      </c>
    </row>
    <row r="26" spans="1:9">
      <c r="A26" t="s">
        <v>118</v>
      </c>
      <c r="B26" t="s">
        <v>308</v>
      </c>
      <c r="C26">
        <v>1</v>
      </c>
      <c r="D26">
        <v>3</v>
      </c>
      <c r="E26" s="30">
        <v>46130.609149120399</v>
      </c>
      <c r="F26" t="s">
        <v>284</v>
      </c>
      <c r="G26" t="s">
        <v>25</v>
      </c>
      <c r="H26" t="b">
        <v>0</v>
      </c>
      <c r="I26">
        <v>1</v>
      </c>
    </row>
    <row r="27" spans="1:9">
      <c r="A27" t="s">
        <v>120</v>
      </c>
      <c r="B27" t="s">
        <v>309</v>
      </c>
      <c r="C27">
        <v>1</v>
      </c>
      <c r="D27">
        <v>5</v>
      </c>
      <c r="E27" s="30">
        <v>46130.609149120399</v>
      </c>
      <c r="F27" t="s">
        <v>284</v>
      </c>
      <c r="G27" t="s">
        <v>25</v>
      </c>
      <c r="H27" t="b">
        <v>0</v>
      </c>
      <c r="I27">
        <v>1</v>
      </c>
    </row>
    <row r="28" spans="1:9">
      <c r="A28" t="s">
        <v>122</v>
      </c>
      <c r="B28" t="s">
        <v>310</v>
      </c>
      <c r="C28">
        <v>1</v>
      </c>
      <c r="D28">
        <v>3</v>
      </c>
      <c r="E28" s="30">
        <v>46130.609149120399</v>
      </c>
      <c r="F28" t="s">
        <v>284</v>
      </c>
      <c r="G28" t="s">
        <v>25</v>
      </c>
      <c r="H28" t="b">
        <v>1</v>
      </c>
      <c r="I28">
        <v>1</v>
      </c>
    </row>
    <row r="29" spans="1:9">
      <c r="A29" t="s">
        <v>123</v>
      </c>
      <c r="B29" t="s">
        <v>311</v>
      </c>
      <c r="C29">
        <v>1</v>
      </c>
      <c r="D29">
        <v>2</v>
      </c>
      <c r="E29" s="30">
        <v>46130.609149120399</v>
      </c>
      <c r="F29" t="s">
        <v>284</v>
      </c>
      <c r="G29" t="s">
        <v>25</v>
      </c>
      <c r="H29" t="b">
        <v>1</v>
      </c>
      <c r="I29">
        <v>1</v>
      </c>
    </row>
    <row r="30" spans="1:9">
      <c r="A30" t="s">
        <v>125</v>
      </c>
      <c r="B30" t="s">
        <v>312</v>
      </c>
      <c r="C30">
        <v>1</v>
      </c>
      <c r="D30">
        <v>3</v>
      </c>
      <c r="E30" s="30">
        <v>46130.609149120399</v>
      </c>
      <c r="F30" t="s">
        <v>284</v>
      </c>
      <c r="G30" t="s">
        <v>25</v>
      </c>
      <c r="H30" t="b">
        <v>1</v>
      </c>
      <c r="I30">
        <v>1</v>
      </c>
    </row>
    <row r="31" spans="1:9">
      <c r="A31" t="s">
        <v>129</v>
      </c>
      <c r="B31" t="s">
        <v>313</v>
      </c>
      <c r="C31">
        <v>1</v>
      </c>
      <c r="D31">
        <v>4</v>
      </c>
      <c r="E31" s="30">
        <v>46130.609149120399</v>
      </c>
      <c r="F31" t="s">
        <v>284</v>
      </c>
      <c r="G31" t="s">
        <v>25</v>
      </c>
      <c r="H31" t="b">
        <v>0</v>
      </c>
      <c r="I31">
        <v>1</v>
      </c>
    </row>
    <row r="32" spans="1:9">
      <c r="A32" t="s">
        <v>131</v>
      </c>
      <c r="B32" t="s">
        <v>314</v>
      </c>
      <c r="C32">
        <v>1</v>
      </c>
      <c r="D32">
        <v>4</v>
      </c>
      <c r="E32" s="30">
        <v>46130.609149120399</v>
      </c>
      <c r="F32" t="s">
        <v>284</v>
      </c>
      <c r="G32" t="s">
        <v>25</v>
      </c>
      <c r="H32" t="b">
        <v>0</v>
      </c>
      <c r="I32">
        <v>1</v>
      </c>
    </row>
    <row r="33" spans="1:9">
      <c r="A33" t="s">
        <v>133</v>
      </c>
      <c r="B33" t="s">
        <v>315</v>
      </c>
      <c r="C33">
        <v>1</v>
      </c>
      <c r="D33">
        <v>4</v>
      </c>
      <c r="E33" s="30">
        <v>46130.609149120399</v>
      </c>
      <c r="F33" t="s">
        <v>284</v>
      </c>
      <c r="G33" t="s">
        <v>25</v>
      </c>
      <c r="H33" t="b">
        <v>0</v>
      </c>
      <c r="I33">
        <v>1</v>
      </c>
    </row>
    <row r="34" spans="1:9">
      <c r="A34" t="s">
        <v>135</v>
      </c>
      <c r="B34" t="s">
        <v>316</v>
      </c>
      <c r="C34">
        <v>1</v>
      </c>
      <c r="D34">
        <v>4</v>
      </c>
      <c r="E34" s="30">
        <v>46130.609149120399</v>
      </c>
      <c r="F34" t="s">
        <v>284</v>
      </c>
      <c r="G34" t="s">
        <v>25</v>
      </c>
      <c r="H34" t="b">
        <v>0</v>
      </c>
      <c r="I34">
        <v>1</v>
      </c>
    </row>
    <row r="35" spans="1:9">
      <c r="A35" t="s">
        <v>137</v>
      </c>
      <c r="B35" t="s">
        <v>317</v>
      </c>
      <c r="C35">
        <v>1</v>
      </c>
      <c r="D35">
        <v>4</v>
      </c>
      <c r="E35" s="30">
        <v>46130.609149120399</v>
      </c>
      <c r="F35" t="s">
        <v>284</v>
      </c>
      <c r="G35" t="s">
        <v>25</v>
      </c>
      <c r="H35" t="b">
        <v>0</v>
      </c>
      <c r="I35">
        <v>1</v>
      </c>
    </row>
    <row r="36" spans="1:9">
      <c r="A36" t="s">
        <v>139</v>
      </c>
      <c r="B36" t="s">
        <v>318</v>
      </c>
      <c r="C36">
        <v>1</v>
      </c>
      <c r="D36">
        <v>4</v>
      </c>
      <c r="E36" s="30">
        <v>46130.609149120399</v>
      </c>
      <c r="F36" t="s">
        <v>284</v>
      </c>
      <c r="G36" t="s">
        <v>25</v>
      </c>
      <c r="H36" t="b">
        <v>0</v>
      </c>
      <c r="I36">
        <v>1</v>
      </c>
    </row>
    <row r="37" spans="1:9">
      <c r="A37" t="s">
        <v>141</v>
      </c>
      <c r="B37" t="s">
        <v>319</v>
      </c>
      <c r="C37">
        <v>1</v>
      </c>
      <c r="D37">
        <v>4</v>
      </c>
      <c r="E37" s="30">
        <v>46130.609149120399</v>
      </c>
      <c r="F37" t="s">
        <v>284</v>
      </c>
      <c r="G37" t="s">
        <v>25</v>
      </c>
      <c r="H37" t="b">
        <v>0</v>
      </c>
      <c r="I37">
        <v>1</v>
      </c>
    </row>
    <row r="38" spans="1:9">
      <c r="A38" t="s">
        <v>143</v>
      </c>
      <c r="B38" t="s">
        <v>320</v>
      </c>
      <c r="C38">
        <v>1</v>
      </c>
      <c r="D38">
        <v>4</v>
      </c>
      <c r="E38" s="30">
        <v>46130.609149120399</v>
      </c>
      <c r="F38" t="s">
        <v>284</v>
      </c>
      <c r="G38" t="s">
        <v>25</v>
      </c>
      <c r="H38" t="b">
        <v>0</v>
      </c>
      <c r="I38">
        <v>1</v>
      </c>
    </row>
    <row r="39" spans="1:9">
      <c r="A39" t="s">
        <v>145</v>
      </c>
      <c r="B39" t="s">
        <v>321</v>
      </c>
      <c r="C39">
        <v>1</v>
      </c>
      <c r="D39">
        <v>2</v>
      </c>
      <c r="E39" s="30">
        <v>46130.609149120399</v>
      </c>
      <c r="F39" t="s">
        <v>284</v>
      </c>
      <c r="G39" t="s">
        <v>25</v>
      </c>
      <c r="H39" t="b">
        <v>0</v>
      </c>
      <c r="I39">
        <v>1</v>
      </c>
    </row>
    <row r="40" spans="1:9">
      <c r="A40" t="s">
        <v>147</v>
      </c>
      <c r="B40" t="s">
        <v>322</v>
      </c>
      <c r="C40">
        <v>1</v>
      </c>
      <c r="D40">
        <v>4</v>
      </c>
      <c r="E40" s="30">
        <v>46130.609149120399</v>
      </c>
      <c r="F40" t="s">
        <v>284</v>
      </c>
      <c r="G40" t="s">
        <v>25</v>
      </c>
      <c r="H40" t="b">
        <v>0</v>
      </c>
      <c r="I40">
        <v>1</v>
      </c>
    </row>
    <row r="41" spans="1:9">
      <c r="A41" t="s">
        <v>149</v>
      </c>
      <c r="B41" t="s">
        <v>323</v>
      </c>
      <c r="C41">
        <v>1</v>
      </c>
      <c r="D41">
        <v>4</v>
      </c>
      <c r="E41" s="30">
        <v>46130.609149120399</v>
      </c>
      <c r="F41" t="s">
        <v>284</v>
      </c>
      <c r="G41" t="s">
        <v>25</v>
      </c>
      <c r="H41" t="b">
        <v>0</v>
      </c>
      <c r="I41">
        <v>1</v>
      </c>
    </row>
    <row r="42" spans="1:9">
      <c r="A42" t="s">
        <v>151</v>
      </c>
      <c r="B42" t="s">
        <v>324</v>
      </c>
      <c r="C42">
        <v>1</v>
      </c>
      <c r="D42">
        <v>2</v>
      </c>
      <c r="E42" s="30">
        <v>46130.609149120399</v>
      </c>
      <c r="F42" t="s">
        <v>284</v>
      </c>
      <c r="G42" t="s">
        <v>25</v>
      </c>
      <c r="H42" t="b">
        <v>0</v>
      </c>
      <c r="I42">
        <v>1</v>
      </c>
    </row>
    <row r="43" spans="1:9">
      <c r="A43" t="s">
        <v>153</v>
      </c>
      <c r="B43" t="s">
        <v>325</v>
      </c>
      <c r="C43">
        <v>1</v>
      </c>
      <c r="D43">
        <v>2</v>
      </c>
      <c r="E43" s="30">
        <v>46130.609149120399</v>
      </c>
      <c r="F43" t="s">
        <v>284</v>
      </c>
      <c r="G43" t="s">
        <v>25</v>
      </c>
      <c r="H43" t="b">
        <v>0</v>
      </c>
      <c r="I43">
        <v>1</v>
      </c>
    </row>
    <row r="44" spans="1:9">
      <c r="A44" t="s">
        <v>155</v>
      </c>
      <c r="B44" t="s">
        <v>326</v>
      </c>
      <c r="C44">
        <v>1</v>
      </c>
      <c r="D44">
        <v>4</v>
      </c>
      <c r="E44" s="30">
        <v>46130.609149120399</v>
      </c>
      <c r="F44" t="s">
        <v>284</v>
      </c>
      <c r="G44" t="s">
        <v>25</v>
      </c>
      <c r="H44" t="b">
        <v>0</v>
      </c>
      <c r="I44">
        <v>1</v>
      </c>
    </row>
    <row r="45" spans="1:9">
      <c r="A45" t="s">
        <v>157</v>
      </c>
      <c r="B45" t="s">
        <v>327</v>
      </c>
      <c r="C45">
        <v>1</v>
      </c>
      <c r="D45">
        <v>4</v>
      </c>
      <c r="E45" s="30">
        <v>46130.609149120399</v>
      </c>
      <c r="F45" t="s">
        <v>284</v>
      </c>
      <c r="G45" t="s">
        <v>25</v>
      </c>
      <c r="H45" t="b">
        <v>0</v>
      </c>
      <c r="I45">
        <v>1</v>
      </c>
    </row>
    <row r="46" spans="1:9">
      <c r="A46" t="s">
        <v>159</v>
      </c>
      <c r="B46" t="s">
        <v>328</v>
      </c>
      <c r="C46">
        <v>1</v>
      </c>
      <c r="D46">
        <v>4</v>
      </c>
      <c r="E46" s="30">
        <v>46130.609149120399</v>
      </c>
      <c r="F46" t="s">
        <v>284</v>
      </c>
      <c r="G46" t="s">
        <v>25</v>
      </c>
      <c r="H46" t="b">
        <v>0</v>
      </c>
      <c r="I46">
        <v>1</v>
      </c>
    </row>
    <row r="47" spans="1:9">
      <c r="A47" t="s">
        <v>161</v>
      </c>
      <c r="B47" t="s">
        <v>329</v>
      </c>
      <c r="C47">
        <v>1</v>
      </c>
      <c r="D47">
        <v>4</v>
      </c>
      <c r="E47" s="30">
        <v>46130.609149120399</v>
      </c>
      <c r="F47" t="s">
        <v>284</v>
      </c>
      <c r="G47" t="s">
        <v>25</v>
      </c>
      <c r="H47" t="b">
        <v>0</v>
      </c>
      <c r="I47">
        <v>1</v>
      </c>
    </row>
    <row r="48" spans="1:9">
      <c r="A48" t="s">
        <v>163</v>
      </c>
      <c r="B48" t="s">
        <v>330</v>
      </c>
      <c r="C48">
        <v>1</v>
      </c>
      <c r="D48">
        <v>2</v>
      </c>
      <c r="E48" s="30">
        <v>46130.609149120399</v>
      </c>
      <c r="F48" t="s">
        <v>284</v>
      </c>
      <c r="G48" t="s">
        <v>25</v>
      </c>
      <c r="H48" t="b">
        <v>0</v>
      </c>
      <c r="I48">
        <v>1</v>
      </c>
    </row>
    <row r="49" spans="1:9">
      <c r="A49" t="s">
        <v>56</v>
      </c>
      <c r="B49" t="s">
        <v>331</v>
      </c>
      <c r="C49">
        <v>1</v>
      </c>
      <c r="D49">
        <v>3</v>
      </c>
      <c r="E49" s="30">
        <v>46130.609149120399</v>
      </c>
      <c r="F49" t="s">
        <v>284</v>
      </c>
      <c r="G49" t="s">
        <v>24</v>
      </c>
      <c r="H49" t="b">
        <v>0</v>
      </c>
      <c r="I49">
        <v>0</v>
      </c>
    </row>
    <row r="50" spans="1:9">
      <c r="A50" t="s">
        <v>62</v>
      </c>
      <c r="B50" t="s">
        <v>332</v>
      </c>
      <c r="C50">
        <v>1</v>
      </c>
      <c r="D50">
        <v>3</v>
      </c>
      <c r="E50" s="30">
        <v>46130.609149120399</v>
      </c>
      <c r="F50" t="s">
        <v>284</v>
      </c>
      <c r="G50" t="s">
        <v>24</v>
      </c>
      <c r="H50" t="b">
        <v>0</v>
      </c>
      <c r="I50">
        <v>0</v>
      </c>
    </row>
    <row r="51" spans="1:9">
      <c r="A51" t="s">
        <v>166</v>
      </c>
      <c r="B51" t="s">
        <v>333</v>
      </c>
      <c r="C51">
        <v>1</v>
      </c>
      <c r="D51">
        <v>1</v>
      </c>
      <c r="E51" s="30">
        <v>46130.609149120399</v>
      </c>
      <c r="F51" t="s">
        <v>284</v>
      </c>
      <c r="G51" t="s">
        <v>26</v>
      </c>
      <c r="H51" t="b">
        <v>0</v>
      </c>
      <c r="I51">
        <v>2</v>
      </c>
    </row>
    <row r="52" spans="1:9">
      <c r="A52" t="s">
        <v>168</v>
      </c>
      <c r="B52" t="s">
        <v>334</v>
      </c>
      <c r="C52">
        <v>1</v>
      </c>
      <c r="D52">
        <v>1</v>
      </c>
      <c r="E52" s="30">
        <v>46130.609149120399</v>
      </c>
      <c r="F52" t="s">
        <v>284</v>
      </c>
      <c r="G52" t="s">
        <v>26</v>
      </c>
      <c r="H52" t="b">
        <v>0</v>
      </c>
      <c r="I52">
        <v>2</v>
      </c>
    </row>
    <row r="53" spans="1:9">
      <c r="A53" t="s">
        <v>170</v>
      </c>
      <c r="B53" t="s">
        <v>335</v>
      </c>
      <c r="C53">
        <v>1</v>
      </c>
      <c r="D53">
        <v>1</v>
      </c>
      <c r="E53" s="30">
        <v>46130.609149120399</v>
      </c>
      <c r="F53" t="s">
        <v>284</v>
      </c>
      <c r="G53" t="s">
        <v>26</v>
      </c>
      <c r="H53" t="b">
        <v>0</v>
      </c>
      <c r="I53">
        <v>2</v>
      </c>
    </row>
    <row r="54" spans="1:9">
      <c r="A54" t="s">
        <v>172</v>
      </c>
      <c r="B54" t="s">
        <v>336</v>
      </c>
      <c r="C54">
        <v>1</v>
      </c>
      <c r="D54">
        <v>4</v>
      </c>
      <c r="E54" s="30">
        <v>46130.609149120399</v>
      </c>
      <c r="F54" t="s">
        <v>284</v>
      </c>
      <c r="G54" t="s">
        <v>26</v>
      </c>
      <c r="H54" t="b">
        <v>0</v>
      </c>
      <c r="I54">
        <v>2</v>
      </c>
    </row>
    <row r="55" spans="1:9">
      <c r="A55" t="s">
        <v>173</v>
      </c>
      <c r="B55" t="s">
        <v>337</v>
      </c>
      <c r="C55">
        <v>1</v>
      </c>
      <c r="D55">
        <v>1</v>
      </c>
      <c r="E55" s="30">
        <v>46130.609149120399</v>
      </c>
      <c r="F55" t="s">
        <v>284</v>
      </c>
      <c r="G55" t="s">
        <v>26</v>
      </c>
      <c r="H55" t="b">
        <v>1</v>
      </c>
      <c r="I55">
        <v>2</v>
      </c>
    </row>
    <row r="56" spans="1:9">
      <c r="A56" t="s">
        <v>174</v>
      </c>
      <c r="B56" t="s">
        <v>338</v>
      </c>
      <c r="C56">
        <v>1</v>
      </c>
      <c r="D56">
        <v>2</v>
      </c>
      <c r="E56" s="30">
        <v>46130.609149120399</v>
      </c>
      <c r="F56" t="s">
        <v>284</v>
      </c>
      <c r="G56" t="s">
        <v>26</v>
      </c>
      <c r="H56" t="b">
        <v>1</v>
      </c>
      <c r="I56">
        <v>2</v>
      </c>
    </row>
    <row r="57" spans="1:9">
      <c r="A57" t="s">
        <v>175</v>
      </c>
      <c r="B57" t="s">
        <v>339</v>
      </c>
      <c r="C57">
        <v>1</v>
      </c>
      <c r="D57">
        <v>4</v>
      </c>
      <c r="E57" s="30">
        <v>46130.609149120399</v>
      </c>
      <c r="F57" t="s">
        <v>284</v>
      </c>
      <c r="G57" t="s">
        <v>26</v>
      </c>
      <c r="H57" t="b">
        <v>1</v>
      </c>
      <c r="I57">
        <v>2</v>
      </c>
    </row>
    <row r="58" spans="1:9">
      <c r="A58" t="s">
        <v>177</v>
      </c>
      <c r="B58" t="s">
        <v>340</v>
      </c>
      <c r="C58">
        <v>1</v>
      </c>
      <c r="D58">
        <v>1</v>
      </c>
      <c r="E58" s="30">
        <v>46130.609149120399</v>
      </c>
      <c r="F58" t="s">
        <v>284</v>
      </c>
      <c r="G58" t="s">
        <v>26</v>
      </c>
      <c r="H58" t="b">
        <v>1</v>
      </c>
      <c r="I58">
        <v>2</v>
      </c>
    </row>
    <row r="59" spans="1:9">
      <c r="A59" t="s">
        <v>180</v>
      </c>
      <c r="B59" t="s">
        <v>341</v>
      </c>
      <c r="C59">
        <v>1</v>
      </c>
      <c r="D59">
        <v>1</v>
      </c>
      <c r="E59" s="30">
        <v>46130.609149120399</v>
      </c>
      <c r="F59" t="s">
        <v>284</v>
      </c>
      <c r="G59" t="s">
        <v>26</v>
      </c>
      <c r="H59" t="b">
        <v>0</v>
      </c>
      <c r="I59">
        <v>2</v>
      </c>
    </row>
    <row r="60" spans="1:9">
      <c r="A60" t="s">
        <v>182</v>
      </c>
      <c r="B60" t="s">
        <v>342</v>
      </c>
      <c r="C60">
        <v>1</v>
      </c>
      <c r="D60">
        <v>4</v>
      </c>
      <c r="E60" s="30">
        <v>46130.609149120399</v>
      </c>
      <c r="F60" t="s">
        <v>284</v>
      </c>
      <c r="G60" t="s">
        <v>26</v>
      </c>
      <c r="H60" t="b">
        <v>0</v>
      </c>
      <c r="I60">
        <v>2</v>
      </c>
    </row>
    <row r="61" spans="1:9">
      <c r="A61" t="s">
        <v>184</v>
      </c>
      <c r="B61" t="s">
        <v>343</v>
      </c>
      <c r="C61">
        <v>1</v>
      </c>
      <c r="D61">
        <v>2</v>
      </c>
      <c r="E61" s="30">
        <v>46130.609149120399</v>
      </c>
      <c r="F61" t="s">
        <v>284</v>
      </c>
      <c r="G61" t="s">
        <v>26</v>
      </c>
      <c r="H61" t="b">
        <v>0</v>
      </c>
      <c r="I61">
        <v>2</v>
      </c>
    </row>
    <row r="62" spans="1:9">
      <c r="A62" t="s">
        <v>186</v>
      </c>
      <c r="B62" t="s">
        <v>344</v>
      </c>
      <c r="C62">
        <v>1</v>
      </c>
      <c r="D62">
        <v>2</v>
      </c>
      <c r="E62" s="30">
        <v>46130.609149120399</v>
      </c>
      <c r="F62" t="s">
        <v>284</v>
      </c>
      <c r="G62" t="s">
        <v>26</v>
      </c>
      <c r="H62" t="b">
        <v>0</v>
      </c>
      <c r="I62">
        <v>2</v>
      </c>
    </row>
    <row r="63" spans="1:9">
      <c r="A63" t="s">
        <v>188</v>
      </c>
      <c r="B63" t="s">
        <v>345</v>
      </c>
      <c r="C63">
        <v>1</v>
      </c>
      <c r="D63">
        <v>1</v>
      </c>
      <c r="E63" s="30">
        <v>46130.609149120399</v>
      </c>
      <c r="F63" t="s">
        <v>284</v>
      </c>
      <c r="G63" t="s">
        <v>26</v>
      </c>
      <c r="H63" t="b">
        <v>0</v>
      </c>
      <c r="I63">
        <v>2</v>
      </c>
    </row>
    <row r="64" spans="1:9">
      <c r="A64" t="s">
        <v>190</v>
      </c>
      <c r="B64" t="s">
        <v>346</v>
      </c>
      <c r="C64">
        <v>1</v>
      </c>
      <c r="D64">
        <v>4</v>
      </c>
      <c r="E64" s="30">
        <v>46130.609149120399</v>
      </c>
      <c r="F64" t="s">
        <v>284</v>
      </c>
      <c r="G64" t="s">
        <v>26</v>
      </c>
      <c r="H64" t="b">
        <v>0</v>
      </c>
      <c r="I64">
        <v>2</v>
      </c>
    </row>
    <row r="65" spans="1:9">
      <c r="A65" t="s">
        <v>192</v>
      </c>
      <c r="B65" t="s">
        <v>347</v>
      </c>
      <c r="C65">
        <v>1</v>
      </c>
      <c r="D65">
        <v>1</v>
      </c>
      <c r="E65" s="30">
        <v>46130.609149120399</v>
      </c>
      <c r="F65" t="s">
        <v>284</v>
      </c>
      <c r="G65" t="s">
        <v>26</v>
      </c>
      <c r="H65" t="b">
        <v>0</v>
      </c>
      <c r="I65">
        <v>2</v>
      </c>
    </row>
    <row r="66" spans="1:9">
      <c r="A66" t="s">
        <v>194</v>
      </c>
      <c r="B66" t="s">
        <v>348</v>
      </c>
      <c r="C66">
        <v>1</v>
      </c>
      <c r="D66">
        <v>2</v>
      </c>
      <c r="E66" s="30">
        <v>46130.609149120399</v>
      </c>
      <c r="F66" t="s">
        <v>284</v>
      </c>
      <c r="G66" t="s">
        <v>26</v>
      </c>
      <c r="H66" t="b">
        <v>0</v>
      </c>
      <c r="I66">
        <v>2</v>
      </c>
    </row>
    <row r="67" spans="1:9">
      <c r="A67" t="s">
        <v>196</v>
      </c>
      <c r="B67" t="s">
        <v>349</v>
      </c>
      <c r="C67">
        <v>1</v>
      </c>
      <c r="D67">
        <v>0</v>
      </c>
      <c r="E67" s="30">
        <v>46130.609149120399</v>
      </c>
      <c r="F67" t="s">
        <v>284</v>
      </c>
      <c r="G67" t="s">
        <v>26</v>
      </c>
      <c r="H67" t="b">
        <v>0</v>
      </c>
      <c r="I67">
        <v>2</v>
      </c>
    </row>
    <row r="68" spans="1:9">
      <c r="A68" t="s">
        <v>198</v>
      </c>
      <c r="B68" t="s">
        <v>350</v>
      </c>
      <c r="C68">
        <v>1</v>
      </c>
      <c r="D68">
        <v>1</v>
      </c>
      <c r="E68" s="30">
        <v>46130.609149120399</v>
      </c>
      <c r="F68" t="s">
        <v>284</v>
      </c>
      <c r="G68" t="s">
        <v>26</v>
      </c>
      <c r="H68" t="b">
        <v>0</v>
      </c>
      <c r="I68">
        <v>2</v>
      </c>
    </row>
    <row r="69" spans="1:9">
      <c r="A69" t="s">
        <v>200</v>
      </c>
      <c r="B69" t="s">
        <v>351</v>
      </c>
      <c r="C69">
        <v>1</v>
      </c>
      <c r="D69">
        <v>2</v>
      </c>
      <c r="E69" s="30">
        <v>46130.609149120399</v>
      </c>
      <c r="F69" t="s">
        <v>284</v>
      </c>
      <c r="G69" t="s">
        <v>26</v>
      </c>
      <c r="H69" t="b">
        <v>0</v>
      </c>
      <c r="I69">
        <v>2</v>
      </c>
    </row>
    <row r="70" spans="1:9">
      <c r="A70" t="s">
        <v>204</v>
      </c>
      <c r="B70" t="s">
        <v>352</v>
      </c>
      <c r="C70">
        <v>1</v>
      </c>
      <c r="D70">
        <v>4</v>
      </c>
      <c r="E70" s="30">
        <v>46130.609149120399</v>
      </c>
      <c r="F70" t="s">
        <v>284</v>
      </c>
      <c r="G70" t="s">
        <v>26</v>
      </c>
      <c r="H70" t="b">
        <v>1</v>
      </c>
      <c r="I70">
        <v>2</v>
      </c>
    </row>
    <row r="71" spans="1:9">
      <c r="A71" t="s">
        <v>206</v>
      </c>
      <c r="B71" t="s">
        <v>353</v>
      </c>
      <c r="C71">
        <v>1</v>
      </c>
      <c r="D71">
        <v>4</v>
      </c>
      <c r="E71" s="30">
        <v>46130.609149120399</v>
      </c>
      <c r="F71" t="s">
        <v>284</v>
      </c>
      <c r="G71" t="s">
        <v>26</v>
      </c>
      <c r="H71" t="b">
        <v>1</v>
      </c>
      <c r="I71">
        <v>2</v>
      </c>
    </row>
    <row r="72" spans="1:9">
      <c r="A72" t="s">
        <v>209</v>
      </c>
      <c r="B72" t="s">
        <v>354</v>
      </c>
      <c r="C72">
        <v>1</v>
      </c>
      <c r="D72">
        <v>1</v>
      </c>
      <c r="E72" s="30">
        <v>46130.609149120399</v>
      </c>
      <c r="F72" t="s">
        <v>284</v>
      </c>
      <c r="G72" t="s">
        <v>27</v>
      </c>
      <c r="H72" t="b">
        <v>0</v>
      </c>
      <c r="I72">
        <v>3</v>
      </c>
    </row>
    <row r="73" spans="1:9">
      <c r="A73" t="s">
        <v>210</v>
      </c>
      <c r="B73" t="s">
        <v>355</v>
      </c>
      <c r="C73">
        <v>1</v>
      </c>
      <c r="D73">
        <v>5</v>
      </c>
      <c r="E73" s="30">
        <v>46130.609149120399</v>
      </c>
      <c r="F73" t="s">
        <v>284</v>
      </c>
      <c r="G73" t="s">
        <v>27</v>
      </c>
      <c r="H73" t="b">
        <v>0</v>
      </c>
      <c r="I73">
        <v>3</v>
      </c>
    </row>
    <row r="74" spans="1:9">
      <c r="A74" t="s">
        <v>211</v>
      </c>
      <c r="B74" t="s">
        <v>356</v>
      </c>
      <c r="C74">
        <v>1</v>
      </c>
      <c r="D74">
        <v>2</v>
      </c>
      <c r="E74" s="30">
        <v>46130.609149120399</v>
      </c>
      <c r="F74" t="s">
        <v>284</v>
      </c>
      <c r="G74" t="s">
        <v>27</v>
      </c>
      <c r="H74" t="b">
        <v>0</v>
      </c>
      <c r="I74">
        <v>3</v>
      </c>
    </row>
    <row r="75" spans="1:9">
      <c r="A75" t="s">
        <v>212</v>
      </c>
      <c r="B75" t="s">
        <v>357</v>
      </c>
      <c r="C75">
        <v>1</v>
      </c>
      <c r="D75">
        <v>1</v>
      </c>
      <c r="E75" s="30">
        <v>46130.609149120399</v>
      </c>
      <c r="F75" t="s">
        <v>284</v>
      </c>
      <c r="G75" t="s">
        <v>27</v>
      </c>
      <c r="H75" t="b">
        <v>0</v>
      </c>
      <c r="I75">
        <v>3</v>
      </c>
    </row>
    <row r="76" spans="1:9">
      <c r="A76" t="s">
        <v>213</v>
      </c>
      <c r="B76" t="s">
        <v>358</v>
      </c>
      <c r="C76">
        <v>1</v>
      </c>
      <c r="D76">
        <v>0</v>
      </c>
      <c r="E76" s="30">
        <v>46130.609149120399</v>
      </c>
      <c r="F76" t="s">
        <v>284</v>
      </c>
      <c r="G76" t="s">
        <v>27</v>
      </c>
      <c r="H76" t="b">
        <v>1</v>
      </c>
      <c r="I76">
        <v>3</v>
      </c>
    </row>
    <row r="77" spans="1:9">
      <c r="A77" t="s">
        <v>214</v>
      </c>
      <c r="B77" t="s">
        <v>359</v>
      </c>
      <c r="C77">
        <v>1</v>
      </c>
      <c r="D77">
        <v>1</v>
      </c>
      <c r="E77" s="30">
        <v>46130.609149120399</v>
      </c>
      <c r="F77" t="s">
        <v>284</v>
      </c>
      <c r="G77" t="s">
        <v>27</v>
      </c>
      <c r="H77" t="b">
        <v>1</v>
      </c>
      <c r="I77">
        <v>3</v>
      </c>
    </row>
    <row r="78" spans="1:9">
      <c r="A78" t="s">
        <v>215</v>
      </c>
      <c r="B78" t="s">
        <v>360</v>
      </c>
      <c r="C78">
        <v>1</v>
      </c>
      <c r="D78">
        <v>4</v>
      </c>
      <c r="E78" s="30">
        <v>46130.609149120399</v>
      </c>
      <c r="F78" t="s">
        <v>284</v>
      </c>
      <c r="G78" t="s">
        <v>27</v>
      </c>
      <c r="H78" t="b">
        <v>1</v>
      </c>
      <c r="I78">
        <v>3</v>
      </c>
    </row>
    <row r="79" spans="1:9">
      <c r="A79" t="s">
        <v>216</v>
      </c>
      <c r="B79" t="s">
        <v>361</v>
      </c>
      <c r="C79">
        <v>1</v>
      </c>
      <c r="D79">
        <v>0</v>
      </c>
      <c r="E79" s="30">
        <v>46130.609149120399</v>
      </c>
      <c r="F79" t="s">
        <v>284</v>
      </c>
      <c r="G79" t="s">
        <v>27</v>
      </c>
      <c r="H79" t="b">
        <v>1</v>
      </c>
      <c r="I79">
        <v>3</v>
      </c>
    </row>
    <row r="80" spans="1:9">
      <c r="A80" t="s">
        <v>218</v>
      </c>
      <c r="B80" t="s">
        <v>362</v>
      </c>
      <c r="C80">
        <v>1</v>
      </c>
      <c r="D80">
        <v>1</v>
      </c>
      <c r="E80" s="30">
        <v>46130.609149120399</v>
      </c>
      <c r="F80" t="s">
        <v>284</v>
      </c>
      <c r="G80" t="s">
        <v>27</v>
      </c>
      <c r="H80" t="b">
        <v>0</v>
      </c>
      <c r="I80">
        <v>3</v>
      </c>
    </row>
    <row r="81" spans="1:9">
      <c r="A81" t="s">
        <v>220</v>
      </c>
      <c r="B81" t="s">
        <v>363</v>
      </c>
      <c r="C81">
        <v>1</v>
      </c>
      <c r="D81">
        <v>1</v>
      </c>
      <c r="E81" s="30">
        <v>46130.609149120399</v>
      </c>
      <c r="F81" t="s">
        <v>284</v>
      </c>
      <c r="G81" t="s">
        <v>27</v>
      </c>
      <c r="H81" t="b">
        <v>0</v>
      </c>
      <c r="I81">
        <v>3</v>
      </c>
    </row>
    <row r="82" spans="1:9">
      <c r="A82" t="s">
        <v>222</v>
      </c>
      <c r="B82" t="s">
        <v>364</v>
      </c>
      <c r="C82">
        <v>1</v>
      </c>
      <c r="D82">
        <v>1</v>
      </c>
      <c r="E82" s="30">
        <v>46130.609149120399</v>
      </c>
      <c r="F82" t="s">
        <v>284</v>
      </c>
      <c r="G82" t="s">
        <v>27</v>
      </c>
      <c r="H82" t="b">
        <v>0</v>
      </c>
      <c r="I82">
        <v>3</v>
      </c>
    </row>
    <row r="83" spans="1:9">
      <c r="A83" t="s">
        <v>224</v>
      </c>
      <c r="B83" t="s">
        <v>365</v>
      </c>
      <c r="C83">
        <v>1</v>
      </c>
      <c r="D83">
        <v>0</v>
      </c>
      <c r="E83" s="30">
        <v>46130.609149120399</v>
      </c>
      <c r="F83" t="s">
        <v>284</v>
      </c>
      <c r="G83" t="s">
        <v>27</v>
      </c>
      <c r="H83" t="b">
        <v>0</v>
      </c>
      <c r="I83">
        <v>3</v>
      </c>
    </row>
    <row r="84" spans="1:9">
      <c r="A84" t="s">
        <v>226</v>
      </c>
      <c r="B84" t="s">
        <v>366</v>
      </c>
      <c r="C84">
        <v>1</v>
      </c>
      <c r="D84">
        <v>4</v>
      </c>
      <c r="E84" s="30">
        <v>46130.609149120399</v>
      </c>
      <c r="F84" t="s">
        <v>284</v>
      </c>
      <c r="G84" t="s">
        <v>27</v>
      </c>
      <c r="H84" t="b">
        <v>0</v>
      </c>
      <c r="I84">
        <v>3</v>
      </c>
    </row>
    <row r="85" spans="1:9">
      <c r="A85" t="s">
        <v>228</v>
      </c>
      <c r="B85" t="s">
        <v>367</v>
      </c>
      <c r="C85">
        <v>1</v>
      </c>
      <c r="D85">
        <v>2</v>
      </c>
      <c r="E85" s="30">
        <v>46130.609149120399</v>
      </c>
      <c r="F85" t="s">
        <v>284</v>
      </c>
      <c r="G85" t="s">
        <v>27</v>
      </c>
      <c r="H85" t="b">
        <v>0</v>
      </c>
      <c r="I85">
        <v>3</v>
      </c>
    </row>
    <row r="86" spans="1:9">
      <c r="A86" t="s">
        <v>230</v>
      </c>
      <c r="B86" t="s">
        <v>368</v>
      </c>
      <c r="C86">
        <v>1</v>
      </c>
      <c r="D86">
        <v>1</v>
      </c>
      <c r="E86" s="30">
        <v>46130.609149120399</v>
      </c>
      <c r="F86" t="s">
        <v>284</v>
      </c>
      <c r="G86" t="s">
        <v>27</v>
      </c>
      <c r="H86" t="b">
        <v>0</v>
      </c>
      <c r="I86">
        <v>3</v>
      </c>
    </row>
    <row r="87" spans="1:9">
      <c r="A87" t="s">
        <v>231</v>
      </c>
      <c r="B87" t="s">
        <v>369</v>
      </c>
      <c r="C87">
        <v>1</v>
      </c>
      <c r="D87">
        <v>4</v>
      </c>
      <c r="E87" s="30">
        <v>46130.609149120399</v>
      </c>
      <c r="F87" t="s">
        <v>284</v>
      </c>
      <c r="G87" t="s">
        <v>27</v>
      </c>
      <c r="H87" t="b">
        <v>0</v>
      </c>
      <c r="I87">
        <v>3</v>
      </c>
    </row>
    <row r="88" spans="1:9">
      <c r="A88" t="s">
        <v>233</v>
      </c>
      <c r="B88" t="s">
        <v>370</v>
      </c>
      <c r="C88">
        <v>1</v>
      </c>
      <c r="D88">
        <v>4</v>
      </c>
      <c r="E88" s="30">
        <v>46130.609149120399</v>
      </c>
      <c r="F88" t="s">
        <v>284</v>
      </c>
      <c r="G88" t="s">
        <v>27</v>
      </c>
      <c r="H88" t="b">
        <v>0</v>
      </c>
      <c r="I88">
        <v>3</v>
      </c>
    </row>
    <row r="89" spans="1:9">
      <c r="A89" t="s">
        <v>235</v>
      </c>
      <c r="B89" t="s">
        <v>371</v>
      </c>
      <c r="C89">
        <v>1</v>
      </c>
      <c r="D89">
        <v>4</v>
      </c>
      <c r="E89" s="30">
        <v>46130.609149120399</v>
      </c>
      <c r="F89" t="s">
        <v>284</v>
      </c>
      <c r="G89" t="s">
        <v>27</v>
      </c>
      <c r="H89" t="b">
        <v>0</v>
      </c>
      <c r="I89">
        <v>3</v>
      </c>
    </row>
    <row r="90" spans="1:9">
      <c r="A90" t="s">
        <v>237</v>
      </c>
      <c r="B90" t="s">
        <v>372</v>
      </c>
      <c r="C90">
        <v>1</v>
      </c>
      <c r="D90">
        <v>4</v>
      </c>
      <c r="E90" s="30">
        <v>46130.609149120399</v>
      </c>
      <c r="F90" t="s">
        <v>284</v>
      </c>
      <c r="G90" t="s">
        <v>27</v>
      </c>
      <c r="H90" t="b">
        <v>0</v>
      </c>
      <c r="I90">
        <v>3</v>
      </c>
    </row>
    <row r="91" spans="1:9">
      <c r="A91" t="s">
        <v>239</v>
      </c>
      <c r="B91" t="s">
        <v>373</v>
      </c>
      <c r="C91">
        <v>1</v>
      </c>
      <c r="D91">
        <v>8</v>
      </c>
      <c r="E91" s="30">
        <v>46130.609149120399</v>
      </c>
      <c r="F91" t="s">
        <v>284</v>
      </c>
      <c r="G91" t="s">
        <v>27</v>
      </c>
      <c r="H91" t="b">
        <v>0</v>
      </c>
      <c r="I91">
        <v>3</v>
      </c>
    </row>
    <row r="92" spans="1:9">
      <c r="A92" t="s">
        <v>241</v>
      </c>
      <c r="B92" t="s">
        <v>374</v>
      </c>
      <c r="C92">
        <v>1</v>
      </c>
      <c r="D92">
        <v>4</v>
      </c>
      <c r="E92" s="30">
        <v>46130.609149120399</v>
      </c>
      <c r="F92" t="s">
        <v>284</v>
      </c>
      <c r="G92" t="s">
        <v>27</v>
      </c>
      <c r="H92" t="b">
        <v>0</v>
      </c>
      <c r="I92">
        <v>3</v>
      </c>
    </row>
    <row r="93" spans="1:9">
      <c r="A93" t="s">
        <v>243</v>
      </c>
      <c r="B93" t="s">
        <v>375</v>
      </c>
      <c r="C93">
        <v>1</v>
      </c>
      <c r="D93">
        <v>2</v>
      </c>
      <c r="E93" s="30">
        <v>46130.609149120399</v>
      </c>
      <c r="F93" t="s">
        <v>284</v>
      </c>
      <c r="G93" t="s">
        <v>27</v>
      </c>
      <c r="H93" t="b">
        <v>1</v>
      </c>
      <c r="I93">
        <v>3</v>
      </c>
    </row>
    <row r="94" spans="1:9">
      <c r="A94" t="s">
        <v>244</v>
      </c>
      <c r="B94" t="s">
        <v>376</v>
      </c>
      <c r="C94">
        <v>1</v>
      </c>
      <c r="D94">
        <v>1</v>
      </c>
      <c r="E94" s="30">
        <v>46130.609149120399</v>
      </c>
      <c r="F94" t="s">
        <v>284</v>
      </c>
      <c r="G94" t="s">
        <v>27</v>
      </c>
      <c r="H94" t="b">
        <v>1</v>
      </c>
      <c r="I94">
        <v>3</v>
      </c>
    </row>
    <row r="95" spans="1:9">
      <c r="A95" t="s">
        <v>246</v>
      </c>
      <c r="B95" t="s">
        <v>377</v>
      </c>
      <c r="C95">
        <v>1</v>
      </c>
      <c r="D95">
        <v>3</v>
      </c>
      <c r="E95" s="30">
        <v>46130.609149120399</v>
      </c>
      <c r="F95" t="s">
        <v>284</v>
      </c>
      <c r="G95" t="s">
        <v>28</v>
      </c>
      <c r="H95" t="b">
        <v>0</v>
      </c>
      <c r="I95">
        <v>4</v>
      </c>
    </row>
    <row r="96" spans="1:9">
      <c r="A96" t="s">
        <v>247</v>
      </c>
      <c r="B96" t="s">
        <v>378</v>
      </c>
      <c r="C96">
        <v>1</v>
      </c>
      <c r="D96">
        <v>4</v>
      </c>
      <c r="E96" s="30">
        <v>46130.609149120399</v>
      </c>
      <c r="F96" t="s">
        <v>284</v>
      </c>
      <c r="G96" t="s">
        <v>28</v>
      </c>
      <c r="H96" t="b">
        <v>0</v>
      </c>
      <c r="I96">
        <v>4</v>
      </c>
    </row>
    <row r="97" spans="1:9">
      <c r="A97" t="s">
        <v>248</v>
      </c>
      <c r="B97" t="s">
        <v>379</v>
      </c>
      <c r="C97">
        <v>1</v>
      </c>
      <c r="D97">
        <v>4</v>
      </c>
      <c r="E97" s="30">
        <v>46130.609149120399</v>
      </c>
      <c r="F97" t="s">
        <v>284</v>
      </c>
      <c r="G97" t="s">
        <v>28</v>
      </c>
      <c r="H97" t="b">
        <v>0</v>
      </c>
      <c r="I97">
        <v>4</v>
      </c>
    </row>
    <row r="98" spans="1:9">
      <c r="A98" t="s">
        <v>249</v>
      </c>
      <c r="B98" t="s">
        <v>380</v>
      </c>
      <c r="C98">
        <v>1</v>
      </c>
      <c r="D98">
        <v>4</v>
      </c>
      <c r="E98" s="30">
        <v>46130.609149120399</v>
      </c>
      <c r="F98" t="s">
        <v>284</v>
      </c>
      <c r="G98" t="s">
        <v>28</v>
      </c>
      <c r="H98" t="b">
        <v>0</v>
      </c>
      <c r="I98">
        <v>4</v>
      </c>
    </row>
    <row r="99" spans="1:9">
      <c r="A99" t="s">
        <v>250</v>
      </c>
      <c r="B99" t="s">
        <v>381</v>
      </c>
      <c r="C99">
        <v>1</v>
      </c>
      <c r="D99">
        <v>3</v>
      </c>
      <c r="E99" s="30">
        <v>46130.609149120399</v>
      </c>
      <c r="F99" t="s">
        <v>284</v>
      </c>
      <c r="G99" t="s">
        <v>28</v>
      </c>
      <c r="H99" t="b">
        <v>1</v>
      </c>
      <c r="I99">
        <v>4</v>
      </c>
    </row>
    <row r="100" spans="1:9">
      <c r="A100" t="s">
        <v>251</v>
      </c>
      <c r="B100" t="s">
        <v>382</v>
      </c>
      <c r="C100">
        <v>1</v>
      </c>
      <c r="D100">
        <v>5</v>
      </c>
      <c r="E100" s="30">
        <v>46130.609149120399</v>
      </c>
      <c r="F100" t="s">
        <v>284</v>
      </c>
      <c r="G100" t="s">
        <v>28</v>
      </c>
      <c r="H100" t="b">
        <v>1</v>
      </c>
      <c r="I100">
        <v>4</v>
      </c>
    </row>
    <row r="101" spans="1:9">
      <c r="A101" t="s">
        <v>252</v>
      </c>
      <c r="B101" t="s">
        <v>383</v>
      </c>
      <c r="C101">
        <v>1</v>
      </c>
      <c r="D101">
        <v>5</v>
      </c>
      <c r="E101" s="30">
        <v>46130.609149120399</v>
      </c>
      <c r="F101" t="s">
        <v>284</v>
      </c>
      <c r="G101" t="s">
        <v>28</v>
      </c>
      <c r="H101" t="b">
        <v>1</v>
      </c>
      <c r="I101">
        <v>4</v>
      </c>
    </row>
    <row r="102" spans="1:9">
      <c r="A102" t="s">
        <v>253</v>
      </c>
      <c r="B102" t="s">
        <v>384</v>
      </c>
      <c r="C102">
        <v>1</v>
      </c>
      <c r="D102">
        <v>3</v>
      </c>
      <c r="E102" s="30">
        <v>46130.609149120399</v>
      </c>
      <c r="F102" t="s">
        <v>284</v>
      </c>
      <c r="G102" t="s">
        <v>28</v>
      </c>
      <c r="H102" t="b">
        <v>1</v>
      </c>
      <c r="I102">
        <v>4</v>
      </c>
    </row>
    <row r="103" spans="1:9">
      <c r="A103" t="s">
        <v>255</v>
      </c>
      <c r="B103" t="s">
        <v>385</v>
      </c>
      <c r="C103">
        <v>1</v>
      </c>
      <c r="D103">
        <v>5</v>
      </c>
      <c r="E103" s="30">
        <v>46130.609149120399</v>
      </c>
      <c r="F103" t="s">
        <v>284</v>
      </c>
      <c r="G103" t="s">
        <v>28</v>
      </c>
      <c r="H103" t="b">
        <v>0</v>
      </c>
      <c r="I103">
        <v>4</v>
      </c>
    </row>
    <row r="104" spans="1:9">
      <c r="A104" t="s">
        <v>257</v>
      </c>
      <c r="B104" t="s">
        <v>386</v>
      </c>
      <c r="C104">
        <v>1</v>
      </c>
      <c r="D104">
        <v>5</v>
      </c>
      <c r="E104" s="30">
        <v>46130.609149120399</v>
      </c>
      <c r="F104" t="s">
        <v>284</v>
      </c>
      <c r="G104" t="s">
        <v>28</v>
      </c>
      <c r="H104" t="b">
        <v>0</v>
      </c>
      <c r="I104">
        <v>4</v>
      </c>
    </row>
    <row r="105" spans="1:9">
      <c r="A105" t="s">
        <v>259</v>
      </c>
      <c r="B105" t="s">
        <v>387</v>
      </c>
      <c r="C105">
        <v>1</v>
      </c>
      <c r="D105">
        <v>0</v>
      </c>
      <c r="E105" s="30">
        <v>46130.609149120399</v>
      </c>
      <c r="F105" t="s">
        <v>284</v>
      </c>
      <c r="G105" t="s">
        <v>28</v>
      </c>
      <c r="H105" t="b">
        <v>0</v>
      </c>
      <c r="I105">
        <v>4</v>
      </c>
    </row>
    <row r="106" spans="1:9">
      <c r="A106" t="s">
        <v>260</v>
      </c>
      <c r="B106" t="s">
        <v>388</v>
      </c>
      <c r="C106">
        <v>1</v>
      </c>
      <c r="D106">
        <v>4</v>
      </c>
      <c r="E106" s="30">
        <v>46130.609149120399</v>
      </c>
      <c r="F106" t="s">
        <v>284</v>
      </c>
      <c r="G106" t="s">
        <v>28</v>
      </c>
      <c r="H106" t="b">
        <v>0</v>
      </c>
      <c r="I106">
        <v>4</v>
      </c>
    </row>
    <row r="107" spans="1:9">
      <c r="A107" t="s">
        <v>262</v>
      </c>
      <c r="B107" t="s">
        <v>389</v>
      </c>
      <c r="C107">
        <v>1</v>
      </c>
      <c r="D107">
        <v>4</v>
      </c>
      <c r="E107" s="30">
        <v>46130.609149120399</v>
      </c>
      <c r="F107" t="s">
        <v>284</v>
      </c>
      <c r="G107" t="s">
        <v>28</v>
      </c>
      <c r="H107" t="b">
        <v>0</v>
      </c>
      <c r="I107">
        <v>4</v>
      </c>
    </row>
    <row r="108" spans="1:9">
      <c r="A108" t="s">
        <v>264</v>
      </c>
      <c r="B108" t="s">
        <v>390</v>
      </c>
      <c r="C108">
        <v>1</v>
      </c>
      <c r="D108">
        <v>4</v>
      </c>
      <c r="E108" s="30">
        <v>46130.609149120399</v>
      </c>
      <c r="F108" t="s">
        <v>284</v>
      </c>
      <c r="G108" t="s">
        <v>28</v>
      </c>
      <c r="H108" t="b">
        <v>0</v>
      </c>
      <c r="I108">
        <v>4</v>
      </c>
    </row>
    <row r="109" spans="1:9">
      <c r="A109" t="s">
        <v>266</v>
      </c>
      <c r="B109" t="s">
        <v>391</v>
      </c>
      <c r="C109">
        <v>1</v>
      </c>
      <c r="D109">
        <v>4</v>
      </c>
      <c r="E109" s="30">
        <v>46130.609149120399</v>
      </c>
      <c r="F109" t="s">
        <v>284</v>
      </c>
      <c r="G109" t="s">
        <v>28</v>
      </c>
      <c r="H109" t="b">
        <v>0</v>
      </c>
      <c r="I109">
        <v>4</v>
      </c>
    </row>
    <row r="110" spans="1:9">
      <c r="A110" t="s">
        <v>267</v>
      </c>
      <c r="B110" t="s">
        <v>392</v>
      </c>
      <c r="C110">
        <v>1</v>
      </c>
      <c r="D110">
        <v>3</v>
      </c>
      <c r="E110" s="30">
        <v>46130.609149120399</v>
      </c>
      <c r="F110" t="s">
        <v>284</v>
      </c>
      <c r="G110" t="s">
        <v>28</v>
      </c>
      <c r="H110" t="b">
        <v>0</v>
      </c>
      <c r="I110">
        <v>4</v>
      </c>
    </row>
    <row r="111" spans="1:9">
      <c r="A111" t="s">
        <v>269</v>
      </c>
      <c r="B111" t="s">
        <v>393</v>
      </c>
      <c r="C111">
        <v>1</v>
      </c>
      <c r="D111">
        <v>3</v>
      </c>
      <c r="E111" s="30">
        <v>46130.609149120399</v>
      </c>
      <c r="F111" t="s">
        <v>284</v>
      </c>
      <c r="G111" t="s">
        <v>28</v>
      </c>
      <c r="H111" t="b">
        <v>0</v>
      </c>
      <c r="I111">
        <v>4</v>
      </c>
    </row>
    <row r="112" spans="1:9">
      <c r="A112" t="s">
        <v>270</v>
      </c>
      <c r="B112" t="s">
        <v>394</v>
      </c>
      <c r="C112">
        <v>1</v>
      </c>
      <c r="D112">
        <v>5</v>
      </c>
      <c r="E112" s="30">
        <v>46130.609149120399</v>
      </c>
      <c r="F112" t="s">
        <v>284</v>
      </c>
      <c r="G112" t="s">
        <v>28</v>
      </c>
      <c r="H112" t="b">
        <v>0</v>
      </c>
      <c r="I112">
        <v>4</v>
      </c>
    </row>
    <row r="113" spans="1:9">
      <c r="A113" t="s">
        <v>272</v>
      </c>
      <c r="B113" t="s">
        <v>395</v>
      </c>
      <c r="C113">
        <v>1</v>
      </c>
      <c r="D113">
        <v>1</v>
      </c>
      <c r="E113" s="30">
        <v>46130.609149120399</v>
      </c>
      <c r="F113" t="s">
        <v>284</v>
      </c>
      <c r="G113" t="s">
        <v>28</v>
      </c>
      <c r="H113" t="b">
        <v>0</v>
      </c>
      <c r="I113">
        <v>4</v>
      </c>
    </row>
    <row r="114" spans="1:9">
      <c r="A114" t="s">
        <v>275</v>
      </c>
      <c r="B114" t="s">
        <v>396</v>
      </c>
      <c r="C114">
        <v>1</v>
      </c>
      <c r="D114">
        <v>4</v>
      </c>
      <c r="E114" s="30">
        <v>46130.609149120399</v>
      </c>
      <c r="F114" t="s">
        <v>284</v>
      </c>
      <c r="G114" t="s">
        <v>28</v>
      </c>
      <c r="H114" t="b">
        <v>1</v>
      </c>
      <c r="I114">
        <v>4</v>
      </c>
    </row>
    <row r="115" spans="1:9">
      <c r="A115" t="s">
        <v>276</v>
      </c>
      <c r="B115" t="s">
        <v>397</v>
      </c>
      <c r="C115">
        <v>1</v>
      </c>
      <c r="D115">
        <v>10</v>
      </c>
      <c r="E115" s="30">
        <v>46130.609149120399</v>
      </c>
      <c r="F115" t="s">
        <v>284</v>
      </c>
      <c r="G115" t="s">
        <v>28</v>
      </c>
      <c r="H115" t="b">
        <v>1</v>
      </c>
      <c r="I115">
        <v>4</v>
      </c>
    </row>
    <row r="116" spans="1:9">
      <c r="A116" t="s">
        <v>54</v>
      </c>
      <c r="B116" t="s">
        <v>398</v>
      </c>
      <c r="C116">
        <v>3</v>
      </c>
      <c r="D116">
        <v>1</v>
      </c>
      <c r="E116" s="30">
        <v>46130.662652638901</v>
      </c>
      <c r="F116" t="s">
        <v>284</v>
      </c>
      <c r="G116" t="s">
        <v>24</v>
      </c>
      <c r="H116" t="b">
        <v>0</v>
      </c>
      <c r="I116">
        <v>0</v>
      </c>
    </row>
    <row r="117" spans="1:9">
      <c r="A117" t="s">
        <v>56</v>
      </c>
      <c r="B117" t="s">
        <v>399</v>
      </c>
      <c r="C117">
        <v>3</v>
      </c>
      <c r="D117">
        <v>3</v>
      </c>
      <c r="E117" s="30">
        <v>46130.662652638901</v>
      </c>
      <c r="F117" t="s">
        <v>284</v>
      </c>
      <c r="G117" t="s">
        <v>24</v>
      </c>
      <c r="H117" t="b">
        <v>0</v>
      </c>
      <c r="I117">
        <v>0</v>
      </c>
    </row>
    <row r="118" spans="1:9">
      <c r="A118" t="s">
        <v>58</v>
      </c>
      <c r="B118" t="s">
        <v>400</v>
      </c>
      <c r="C118">
        <v>3</v>
      </c>
      <c r="D118">
        <v>1</v>
      </c>
      <c r="E118" s="30">
        <v>46130.662652638901</v>
      </c>
      <c r="F118" t="s">
        <v>284</v>
      </c>
      <c r="G118" t="s">
        <v>24</v>
      </c>
      <c r="H118" t="b">
        <v>0</v>
      </c>
      <c r="I118">
        <v>0</v>
      </c>
    </row>
    <row r="119" spans="1:9">
      <c r="A119" t="s">
        <v>62</v>
      </c>
      <c r="B119" t="s">
        <v>401</v>
      </c>
      <c r="C119">
        <v>3</v>
      </c>
      <c r="D119">
        <v>1</v>
      </c>
      <c r="E119" s="30">
        <v>46130.662652638901</v>
      </c>
      <c r="F119" t="s">
        <v>284</v>
      </c>
      <c r="G119" t="s">
        <v>24</v>
      </c>
      <c r="H119" t="b">
        <v>0</v>
      </c>
      <c r="I119">
        <v>0</v>
      </c>
    </row>
    <row r="120" spans="1:9">
      <c r="A120" t="s">
        <v>64</v>
      </c>
      <c r="B120" t="s">
        <v>402</v>
      </c>
      <c r="C120">
        <v>3</v>
      </c>
      <c r="D120">
        <v>4</v>
      </c>
      <c r="E120" s="30">
        <v>46130.662652638901</v>
      </c>
      <c r="F120" t="s">
        <v>284</v>
      </c>
      <c r="G120" t="s">
        <v>24</v>
      </c>
      <c r="H120" t="b">
        <v>0</v>
      </c>
      <c r="I120">
        <v>0</v>
      </c>
    </row>
    <row r="121" spans="1:9">
      <c r="A121" t="s">
        <v>66</v>
      </c>
      <c r="B121" t="s">
        <v>403</v>
      </c>
      <c r="C121">
        <v>3</v>
      </c>
      <c r="D121">
        <v>4</v>
      </c>
      <c r="E121" s="30">
        <v>46130.662652638901</v>
      </c>
      <c r="F121" t="s">
        <v>284</v>
      </c>
      <c r="G121" t="s">
        <v>24</v>
      </c>
      <c r="H121" t="b">
        <v>0</v>
      </c>
      <c r="I121">
        <v>0</v>
      </c>
    </row>
    <row r="122" spans="1:9">
      <c r="A122" t="s">
        <v>70</v>
      </c>
      <c r="B122" t="s">
        <v>404</v>
      </c>
      <c r="C122">
        <v>3</v>
      </c>
      <c r="D122">
        <v>1</v>
      </c>
      <c r="E122" s="30">
        <v>46130.662652638901</v>
      </c>
      <c r="F122" t="s">
        <v>284</v>
      </c>
      <c r="G122" t="s">
        <v>24</v>
      </c>
      <c r="H122" t="b">
        <v>0</v>
      </c>
      <c r="I122">
        <v>0</v>
      </c>
    </row>
    <row r="123" spans="1:9">
      <c r="A123" t="s">
        <v>72</v>
      </c>
      <c r="B123" t="s">
        <v>405</v>
      </c>
      <c r="C123">
        <v>3</v>
      </c>
      <c r="D123">
        <v>4</v>
      </c>
      <c r="E123" s="30">
        <v>46130.662652638901</v>
      </c>
      <c r="F123" t="s">
        <v>284</v>
      </c>
      <c r="G123" t="s">
        <v>24</v>
      </c>
      <c r="H123" t="b">
        <v>0</v>
      </c>
      <c r="I123">
        <v>0</v>
      </c>
    </row>
    <row r="124" spans="1:9">
      <c r="A124" t="s">
        <v>74</v>
      </c>
      <c r="B124" t="s">
        <v>406</v>
      </c>
      <c r="C124">
        <v>3</v>
      </c>
      <c r="D124">
        <v>1</v>
      </c>
      <c r="E124" s="30">
        <v>46130.662652638901</v>
      </c>
      <c r="F124" t="s">
        <v>284</v>
      </c>
      <c r="G124" t="s">
        <v>24</v>
      </c>
      <c r="H124" t="b">
        <v>0</v>
      </c>
      <c r="I124">
        <v>0</v>
      </c>
    </row>
    <row r="125" spans="1:9">
      <c r="A125" t="s">
        <v>76</v>
      </c>
      <c r="B125" t="s">
        <v>407</v>
      </c>
      <c r="C125">
        <v>3</v>
      </c>
      <c r="D125">
        <v>1</v>
      </c>
      <c r="E125" s="30">
        <v>46130.662652638901</v>
      </c>
      <c r="F125" t="s">
        <v>284</v>
      </c>
      <c r="G125" t="s">
        <v>24</v>
      </c>
      <c r="H125" t="b">
        <v>0</v>
      </c>
      <c r="I125">
        <v>0</v>
      </c>
    </row>
    <row r="126" spans="1:9">
      <c r="A126" t="s">
        <v>78</v>
      </c>
      <c r="B126" t="s">
        <v>408</v>
      </c>
      <c r="C126">
        <v>3</v>
      </c>
      <c r="D126">
        <v>3</v>
      </c>
      <c r="E126" s="30">
        <v>46130.662652638901</v>
      </c>
      <c r="F126" t="s">
        <v>284</v>
      </c>
      <c r="G126" t="s">
        <v>24</v>
      </c>
      <c r="H126" t="b">
        <v>0</v>
      </c>
      <c r="I126">
        <v>0</v>
      </c>
    </row>
    <row r="127" spans="1:9">
      <c r="A127" t="s">
        <v>80</v>
      </c>
      <c r="B127" t="s">
        <v>409</v>
      </c>
      <c r="C127">
        <v>3</v>
      </c>
      <c r="D127">
        <v>3</v>
      </c>
      <c r="E127" s="30">
        <v>46130.662652638901</v>
      </c>
      <c r="F127" t="s">
        <v>284</v>
      </c>
      <c r="G127" t="s">
        <v>24</v>
      </c>
      <c r="H127" t="b">
        <v>0</v>
      </c>
      <c r="I127">
        <v>0</v>
      </c>
    </row>
    <row r="128" spans="1:9">
      <c r="A128" t="s">
        <v>82</v>
      </c>
      <c r="B128" t="s">
        <v>410</v>
      </c>
      <c r="C128">
        <v>3</v>
      </c>
      <c r="D128">
        <v>3</v>
      </c>
      <c r="E128" s="30">
        <v>46130.662652638901</v>
      </c>
      <c r="F128" t="s">
        <v>284</v>
      </c>
      <c r="G128" t="s">
        <v>24</v>
      </c>
      <c r="H128" t="b">
        <v>0</v>
      </c>
      <c r="I128">
        <v>0</v>
      </c>
    </row>
    <row r="129" spans="1:9">
      <c r="A129" t="s">
        <v>84</v>
      </c>
      <c r="B129" t="s">
        <v>411</v>
      </c>
      <c r="C129">
        <v>3</v>
      </c>
      <c r="D129">
        <v>0</v>
      </c>
      <c r="E129" s="30">
        <v>46130.662652638901</v>
      </c>
      <c r="F129" t="s">
        <v>284</v>
      </c>
      <c r="G129" t="s">
        <v>24</v>
      </c>
      <c r="H129" t="b">
        <v>0</v>
      </c>
      <c r="I129">
        <v>0</v>
      </c>
    </row>
    <row r="130" spans="1:9">
      <c r="A130" t="s">
        <v>86</v>
      </c>
      <c r="B130" t="s">
        <v>412</v>
      </c>
      <c r="C130">
        <v>3</v>
      </c>
      <c r="D130">
        <v>1</v>
      </c>
      <c r="E130" s="30">
        <v>46130.662652638901</v>
      </c>
      <c r="F130" t="s">
        <v>284</v>
      </c>
      <c r="G130" t="s">
        <v>24</v>
      </c>
      <c r="H130" t="b">
        <v>0</v>
      </c>
      <c r="I130">
        <v>0</v>
      </c>
    </row>
    <row r="131" spans="1:9">
      <c r="A131" t="s">
        <v>88</v>
      </c>
      <c r="B131" t="s">
        <v>413</v>
      </c>
      <c r="C131">
        <v>3</v>
      </c>
      <c r="D131">
        <v>4</v>
      </c>
      <c r="E131" s="30">
        <v>46130.662652638901</v>
      </c>
      <c r="F131" t="s">
        <v>284</v>
      </c>
      <c r="G131" t="s">
        <v>24</v>
      </c>
      <c r="H131" t="b">
        <v>0</v>
      </c>
      <c r="I131">
        <v>0</v>
      </c>
    </row>
    <row r="132" spans="1:9">
      <c r="A132" t="s">
        <v>92</v>
      </c>
      <c r="B132" t="s">
        <v>414</v>
      </c>
      <c r="C132">
        <v>3</v>
      </c>
      <c r="D132">
        <v>4</v>
      </c>
      <c r="E132" s="30">
        <v>46130.662652638901</v>
      </c>
      <c r="F132" t="s">
        <v>284</v>
      </c>
      <c r="G132" t="s">
        <v>24</v>
      </c>
      <c r="H132" t="b">
        <v>1</v>
      </c>
      <c r="I132">
        <v>0</v>
      </c>
    </row>
    <row r="133" spans="1:9">
      <c r="A133" t="s">
        <v>94</v>
      </c>
      <c r="B133" t="s">
        <v>415</v>
      </c>
      <c r="C133">
        <v>3</v>
      </c>
      <c r="D133">
        <v>2</v>
      </c>
      <c r="E133" s="30">
        <v>46130.662652638901</v>
      </c>
      <c r="F133" t="s">
        <v>284</v>
      </c>
      <c r="G133" t="s">
        <v>24</v>
      </c>
      <c r="H133" t="b">
        <v>1</v>
      </c>
      <c r="I133">
        <v>0</v>
      </c>
    </row>
    <row r="134" spans="1:9">
      <c r="A134" t="s">
        <v>96</v>
      </c>
      <c r="B134" t="s">
        <v>416</v>
      </c>
      <c r="C134">
        <v>3</v>
      </c>
      <c r="D134">
        <v>2</v>
      </c>
      <c r="E134" s="30">
        <v>46130.662652638901</v>
      </c>
      <c r="F134" t="s">
        <v>284</v>
      </c>
      <c r="G134" t="s">
        <v>24</v>
      </c>
      <c r="H134" t="b">
        <v>1</v>
      </c>
      <c r="I134">
        <v>0</v>
      </c>
    </row>
    <row r="135" spans="1:9">
      <c r="A135" t="s">
        <v>98</v>
      </c>
      <c r="B135" t="s">
        <v>417</v>
      </c>
      <c r="C135">
        <v>3</v>
      </c>
      <c r="D135">
        <v>2</v>
      </c>
      <c r="E135" s="30">
        <v>46130.662652638901</v>
      </c>
      <c r="F135" t="s">
        <v>284</v>
      </c>
      <c r="G135" t="s">
        <v>24</v>
      </c>
      <c r="H135" t="b">
        <v>1</v>
      </c>
      <c r="I135">
        <v>0</v>
      </c>
    </row>
    <row r="136" spans="1:9">
      <c r="A136" t="s">
        <v>100</v>
      </c>
      <c r="B136" t="s">
        <v>418</v>
      </c>
      <c r="C136">
        <v>3</v>
      </c>
      <c r="D136">
        <v>4</v>
      </c>
      <c r="E136" s="30">
        <v>46130.662652638901</v>
      </c>
      <c r="F136" t="s">
        <v>284</v>
      </c>
      <c r="G136" t="s">
        <v>24</v>
      </c>
      <c r="H136" t="b">
        <v>1</v>
      </c>
      <c r="I136">
        <v>0</v>
      </c>
    </row>
    <row r="137" spans="1:9">
      <c r="A137" t="s">
        <v>102</v>
      </c>
      <c r="B137" t="s">
        <v>419</v>
      </c>
      <c r="C137">
        <v>3</v>
      </c>
      <c r="D137">
        <v>2</v>
      </c>
      <c r="E137" s="30">
        <v>46130.662652638901</v>
      </c>
      <c r="F137" t="s">
        <v>284</v>
      </c>
      <c r="G137" t="s">
        <v>24</v>
      </c>
      <c r="H137" t="b">
        <v>1</v>
      </c>
      <c r="I137">
        <v>0</v>
      </c>
    </row>
    <row r="138" spans="1:9">
      <c r="A138" t="s">
        <v>104</v>
      </c>
      <c r="B138" t="s">
        <v>420</v>
      </c>
      <c r="C138">
        <v>3</v>
      </c>
      <c r="D138">
        <v>4</v>
      </c>
      <c r="E138" s="30">
        <v>46130.662652638901</v>
      </c>
      <c r="F138" t="s">
        <v>284</v>
      </c>
      <c r="G138" t="s">
        <v>24</v>
      </c>
      <c r="H138" t="b">
        <v>1</v>
      </c>
      <c r="I138">
        <v>0</v>
      </c>
    </row>
    <row r="139" spans="1:9">
      <c r="A139" t="s">
        <v>108</v>
      </c>
      <c r="B139" t="s">
        <v>421</v>
      </c>
      <c r="C139">
        <v>3</v>
      </c>
      <c r="D139">
        <v>0</v>
      </c>
      <c r="E139" s="30">
        <v>46130.662652638901</v>
      </c>
      <c r="F139" t="s">
        <v>284</v>
      </c>
      <c r="G139" t="s">
        <v>24</v>
      </c>
      <c r="H139" t="b">
        <v>0</v>
      </c>
      <c r="I139">
        <v>0</v>
      </c>
    </row>
    <row r="140" spans="1:9">
      <c r="A140" t="s">
        <v>110</v>
      </c>
      <c r="B140" t="s">
        <v>422</v>
      </c>
      <c r="C140">
        <v>3</v>
      </c>
      <c r="D140">
        <v>4</v>
      </c>
      <c r="E140" s="30">
        <v>46130.662652638901</v>
      </c>
      <c r="F140" t="s">
        <v>284</v>
      </c>
      <c r="G140" t="s">
        <v>24</v>
      </c>
      <c r="H140" t="b">
        <v>0</v>
      </c>
      <c r="I140">
        <v>0</v>
      </c>
    </row>
    <row r="141" spans="1:9">
      <c r="A141" t="s">
        <v>114</v>
      </c>
      <c r="B141" t="s">
        <v>423</v>
      </c>
      <c r="C141">
        <v>3</v>
      </c>
      <c r="D141">
        <v>1</v>
      </c>
      <c r="E141" s="30">
        <v>46130.662652638901</v>
      </c>
      <c r="F141" t="s">
        <v>284</v>
      </c>
      <c r="G141" t="s">
        <v>24</v>
      </c>
      <c r="H141" t="b">
        <v>0</v>
      </c>
      <c r="I141">
        <v>0</v>
      </c>
    </row>
    <row r="142" spans="1:9">
      <c r="A142" t="s">
        <v>118</v>
      </c>
      <c r="B142" t="s">
        <v>424</v>
      </c>
      <c r="C142">
        <v>3</v>
      </c>
      <c r="D142">
        <v>3</v>
      </c>
      <c r="E142" s="30">
        <v>46130.662652638901</v>
      </c>
      <c r="F142" t="s">
        <v>284</v>
      </c>
      <c r="G142" t="s">
        <v>25</v>
      </c>
      <c r="H142" t="b">
        <v>0</v>
      </c>
      <c r="I142">
        <v>1</v>
      </c>
    </row>
    <row r="143" spans="1:9">
      <c r="A143" t="s">
        <v>120</v>
      </c>
      <c r="B143" t="s">
        <v>425</v>
      </c>
      <c r="C143">
        <v>3</v>
      </c>
      <c r="D143">
        <v>2</v>
      </c>
      <c r="E143" s="30">
        <v>46130.662652638901</v>
      </c>
      <c r="F143" t="s">
        <v>284</v>
      </c>
      <c r="G143" t="s">
        <v>25</v>
      </c>
      <c r="H143" t="b">
        <v>0</v>
      </c>
      <c r="I143">
        <v>1</v>
      </c>
    </row>
    <row r="144" spans="1:9">
      <c r="A144" t="s">
        <v>122</v>
      </c>
      <c r="B144" t="s">
        <v>426</v>
      </c>
      <c r="C144">
        <v>3</v>
      </c>
      <c r="D144">
        <v>0</v>
      </c>
      <c r="E144" s="30">
        <v>46130.662652638901</v>
      </c>
      <c r="F144" t="s">
        <v>284</v>
      </c>
      <c r="G144" t="s">
        <v>25</v>
      </c>
      <c r="H144" t="b">
        <v>1</v>
      </c>
      <c r="I144">
        <v>1</v>
      </c>
    </row>
    <row r="145" spans="1:9">
      <c r="A145" t="s">
        <v>123</v>
      </c>
      <c r="B145" t="s">
        <v>427</v>
      </c>
      <c r="C145">
        <v>3</v>
      </c>
      <c r="D145">
        <v>1</v>
      </c>
      <c r="E145" s="30">
        <v>46130.662652638901</v>
      </c>
      <c r="F145" t="s">
        <v>284</v>
      </c>
      <c r="G145" t="s">
        <v>25</v>
      </c>
      <c r="H145" t="b">
        <v>1</v>
      </c>
      <c r="I145">
        <v>1</v>
      </c>
    </row>
    <row r="146" spans="1:9">
      <c r="A146" t="s">
        <v>125</v>
      </c>
      <c r="B146" t="s">
        <v>428</v>
      </c>
      <c r="C146">
        <v>3</v>
      </c>
      <c r="D146">
        <v>0</v>
      </c>
      <c r="E146" s="30">
        <v>46130.662652638901</v>
      </c>
      <c r="F146" t="s">
        <v>284</v>
      </c>
      <c r="G146" t="s">
        <v>25</v>
      </c>
      <c r="H146" t="b">
        <v>1</v>
      </c>
      <c r="I146">
        <v>1</v>
      </c>
    </row>
    <row r="147" spans="1:9">
      <c r="A147" t="s">
        <v>129</v>
      </c>
      <c r="B147" t="s">
        <v>429</v>
      </c>
      <c r="C147">
        <v>3</v>
      </c>
      <c r="D147">
        <v>1</v>
      </c>
      <c r="E147" s="30">
        <v>46130.662652638901</v>
      </c>
      <c r="F147" t="s">
        <v>284</v>
      </c>
      <c r="G147" t="s">
        <v>25</v>
      </c>
      <c r="H147" t="b">
        <v>0</v>
      </c>
      <c r="I147">
        <v>1</v>
      </c>
    </row>
    <row r="148" spans="1:9">
      <c r="A148" t="s">
        <v>131</v>
      </c>
      <c r="B148" t="s">
        <v>430</v>
      </c>
      <c r="C148">
        <v>3</v>
      </c>
      <c r="D148">
        <v>2</v>
      </c>
      <c r="E148" s="30">
        <v>46130.662652638901</v>
      </c>
      <c r="F148" t="s">
        <v>284</v>
      </c>
      <c r="G148" t="s">
        <v>25</v>
      </c>
      <c r="H148" t="b">
        <v>0</v>
      </c>
      <c r="I148">
        <v>1</v>
      </c>
    </row>
    <row r="149" spans="1:9">
      <c r="A149" t="s">
        <v>133</v>
      </c>
      <c r="B149" t="s">
        <v>431</v>
      </c>
      <c r="C149">
        <v>3</v>
      </c>
      <c r="D149">
        <v>2</v>
      </c>
      <c r="E149" s="30">
        <v>46130.662652638901</v>
      </c>
      <c r="F149" t="s">
        <v>284</v>
      </c>
      <c r="G149" t="s">
        <v>25</v>
      </c>
      <c r="H149" t="b">
        <v>0</v>
      </c>
      <c r="I149">
        <v>1</v>
      </c>
    </row>
    <row r="150" spans="1:9">
      <c r="A150" t="s">
        <v>135</v>
      </c>
      <c r="B150" t="s">
        <v>432</v>
      </c>
      <c r="C150">
        <v>3</v>
      </c>
      <c r="D150">
        <v>4</v>
      </c>
      <c r="E150" s="30">
        <v>46130.662652638901</v>
      </c>
      <c r="F150" t="s">
        <v>284</v>
      </c>
      <c r="G150" t="s">
        <v>25</v>
      </c>
      <c r="H150" t="b">
        <v>0</v>
      </c>
      <c r="I150">
        <v>1</v>
      </c>
    </row>
    <row r="151" spans="1:9">
      <c r="A151" t="s">
        <v>137</v>
      </c>
      <c r="B151" t="s">
        <v>433</v>
      </c>
      <c r="C151">
        <v>3</v>
      </c>
      <c r="D151">
        <v>4</v>
      </c>
      <c r="E151" s="30">
        <v>46130.662652638901</v>
      </c>
      <c r="F151" t="s">
        <v>284</v>
      </c>
      <c r="G151" t="s">
        <v>25</v>
      </c>
      <c r="H151" t="b">
        <v>0</v>
      </c>
      <c r="I151">
        <v>1</v>
      </c>
    </row>
    <row r="152" spans="1:9">
      <c r="A152" t="s">
        <v>143</v>
      </c>
      <c r="B152" t="s">
        <v>434</v>
      </c>
      <c r="C152">
        <v>3</v>
      </c>
      <c r="D152">
        <v>1</v>
      </c>
      <c r="E152" s="30">
        <v>46130.662652638901</v>
      </c>
      <c r="F152" t="s">
        <v>284</v>
      </c>
      <c r="G152" t="s">
        <v>25</v>
      </c>
      <c r="H152" t="b">
        <v>0</v>
      </c>
      <c r="I152">
        <v>1</v>
      </c>
    </row>
    <row r="153" spans="1:9">
      <c r="A153" t="s">
        <v>145</v>
      </c>
      <c r="B153" t="s">
        <v>435</v>
      </c>
      <c r="C153">
        <v>3</v>
      </c>
      <c r="D153">
        <v>1</v>
      </c>
      <c r="E153" s="30">
        <v>46130.662652638901</v>
      </c>
      <c r="F153" t="s">
        <v>284</v>
      </c>
      <c r="G153" t="s">
        <v>25</v>
      </c>
      <c r="H153" t="b">
        <v>0</v>
      </c>
      <c r="I153">
        <v>1</v>
      </c>
    </row>
    <row r="154" spans="1:9">
      <c r="A154" t="s">
        <v>149</v>
      </c>
      <c r="B154" t="s">
        <v>436</v>
      </c>
      <c r="C154">
        <v>3</v>
      </c>
      <c r="D154">
        <v>2</v>
      </c>
      <c r="E154" s="30">
        <v>46130.662652638901</v>
      </c>
      <c r="F154" t="s">
        <v>284</v>
      </c>
      <c r="G154" t="s">
        <v>25</v>
      </c>
      <c r="H154" t="b">
        <v>0</v>
      </c>
      <c r="I154">
        <v>1</v>
      </c>
    </row>
    <row r="155" spans="1:9">
      <c r="A155" t="s">
        <v>151</v>
      </c>
      <c r="B155" t="s">
        <v>437</v>
      </c>
      <c r="C155">
        <v>3</v>
      </c>
      <c r="D155">
        <v>2</v>
      </c>
      <c r="E155" s="30">
        <v>46130.662652638901</v>
      </c>
      <c r="F155" t="s">
        <v>284</v>
      </c>
      <c r="G155" t="s">
        <v>25</v>
      </c>
      <c r="H155" t="b">
        <v>0</v>
      </c>
      <c r="I155">
        <v>1</v>
      </c>
    </row>
    <row r="156" spans="1:9">
      <c r="A156" t="s">
        <v>153</v>
      </c>
      <c r="B156" t="s">
        <v>438</v>
      </c>
      <c r="C156">
        <v>3</v>
      </c>
      <c r="D156">
        <v>2</v>
      </c>
      <c r="E156" s="30">
        <v>46130.662652638901</v>
      </c>
      <c r="F156" t="s">
        <v>284</v>
      </c>
      <c r="G156" t="s">
        <v>25</v>
      </c>
      <c r="H156" t="b">
        <v>0</v>
      </c>
      <c r="I156">
        <v>1</v>
      </c>
    </row>
    <row r="157" spans="1:9">
      <c r="A157" t="s">
        <v>155</v>
      </c>
      <c r="B157" t="s">
        <v>439</v>
      </c>
      <c r="C157">
        <v>3</v>
      </c>
      <c r="D157">
        <v>2</v>
      </c>
      <c r="E157" s="30">
        <v>46130.662652638901</v>
      </c>
      <c r="F157" t="s">
        <v>284</v>
      </c>
      <c r="G157" t="s">
        <v>25</v>
      </c>
      <c r="H157" t="b">
        <v>0</v>
      </c>
      <c r="I157">
        <v>1</v>
      </c>
    </row>
    <row r="158" spans="1:9">
      <c r="A158" t="s">
        <v>157</v>
      </c>
      <c r="B158" t="s">
        <v>440</v>
      </c>
      <c r="C158">
        <v>3</v>
      </c>
      <c r="D158">
        <v>2</v>
      </c>
      <c r="E158" s="30">
        <v>46130.662652638901</v>
      </c>
      <c r="F158" t="s">
        <v>284</v>
      </c>
      <c r="G158" t="s">
        <v>25</v>
      </c>
      <c r="H158" t="b">
        <v>0</v>
      </c>
      <c r="I158">
        <v>1</v>
      </c>
    </row>
    <row r="159" spans="1:9">
      <c r="A159" t="s">
        <v>139</v>
      </c>
      <c r="B159" t="s">
        <v>441</v>
      </c>
      <c r="C159">
        <v>3</v>
      </c>
      <c r="D159">
        <v>0</v>
      </c>
      <c r="E159" s="30">
        <v>46130.662652638901</v>
      </c>
      <c r="F159" t="s">
        <v>284</v>
      </c>
      <c r="G159" t="s">
        <v>25</v>
      </c>
      <c r="H159" t="b">
        <v>0</v>
      </c>
      <c r="I159">
        <v>1</v>
      </c>
    </row>
    <row r="160" spans="1:9">
      <c r="A160" t="s">
        <v>141</v>
      </c>
      <c r="B160" t="s">
        <v>442</v>
      </c>
      <c r="C160">
        <v>3</v>
      </c>
      <c r="D160">
        <v>2</v>
      </c>
      <c r="E160" s="30">
        <v>46130.662652638901</v>
      </c>
      <c r="F160" t="s">
        <v>284</v>
      </c>
      <c r="G160" t="s">
        <v>25</v>
      </c>
      <c r="H160" t="b">
        <v>0</v>
      </c>
      <c r="I160">
        <v>1</v>
      </c>
    </row>
    <row r="161" spans="1:9">
      <c r="A161" t="s">
        <v>147</v>
      </c>
      <c r="B161" t="s">
        <v>443</v>
      </c>
      <c r="C161">
        <v>3</v>
      </c>
      <c r="D161">
        <v>1</v>
      </c>
      <c r="E161" s="30">
        <v>46130.662652638901</v>
      </c>
      <c r="F161" t="s">
        <v>284</v>
      </c>
      <c r="G161" t="s">
        <v>25</v>
      </c>
      <c r="H161" t="b">
        <v>0</v>
      </c>
      <c r="I161">
        <v>1</v>
      </c>
    </row>
    <row r="162" spans="1:9">
      <c r="A162" t="s">
        <v>159</v>
      </c>
      <c r="B162" t="s">
        <v>444</v>
      </c>
      <c r="C162">
        <v>3</v>
      </c>
      <c r="D162">
        <v>2</v>
      </c>
      <c r="E162" s="30">
        <v>46130.662652638901</v>
      </c>
      <c r="F162" t="s">
        <v>284</v>
      </c>
      <c r="G162" t="s">
        <v>25</v>
      </c>
      <c r="H162" t="b">
        <v>0</v>
      </c>
      <c r="I162">
        <v>1</v>
      </c>
    </row>
    <row r="163" spans="1:9">
      <c r="A163" t="s">
        <v>161</v>
      </c>
      <c r="B163" t="s">
        <v>445</v>
      </c>
      <c r="C163">
        <v>3</v>
      </c>
      <c r="D163">
        <v>1</v>
      </c>
      <c r="E163" s="30">
        <v>46130.662652638901</v>
      </c>
      <c r="F163" t="s">
        <v>284</v>
      </c>
      <c r="G163" t="s">
        <v>25</v>
      </c>
      <c r="H163" t="b">
        <v>0</v>
      </c>
      <c r="I163">
        <v>1</v>
      </c>
    </row>
    <row r="164" spans="1:9">
      <c r="A164" t="s">
        <v>163</v>
      </c>
      <c r="B164" t="s">
        <v>446</v>
      </c>
      <c r="C164">
        <v>3</v>
      </c>
      <c r="D164">
        <v>2</v>
      </c>
      <c r="E164" s="30">
        <v>46130.662652638901</v>
      </c>
      <c r="F164" t="s">
        <v>284</v>
      </c>
      <c r="G164" t="s">
        <v>25</v>
      </c>
      <c r="H164" t="b">
        <v>0</v>
      </c>
      <c r="I164">
        <v>1</v>
      </c>
    </row>
    <row r="165" spans="1:9">
      <c r="A165" t="s">
        <v>166</v>
      </c>
      <c r="B165" t="s">
        <v>447</v>
      </c>
      <c r="C165">
        <v>3</v>
      </c>
      <c r="D165">
        <v>1</v>
      </c>
      <c r="E165" s="30">
        <v>46130.662652638901</v>
      </c>
      <c r="F165" t="s">
        <v>284</v>
      </c>
      <c r="G165" t="s">
        <v>26</v>
      </c>
      <c r="H165" t="b">
        <v>0</v>
      </c>
      <c r="I165">
        <v>2</v>
      </c>
    </row>
    <row r="166" spans="1:9">
      <c r="A166" t="s">
        <v>168</v>
      </c>
      <c r="B166" t="s">
        <v>448</v>
      </c>
      <c r="C166">
        <v>3</v>
      </c>
      <c r="D166">
        <v>4</v>
      </c>
      <c r="E166" s="30">
        <v>46130.662652638901</v>
      </c>
      <c r="F166" t="s">
        <v>284</v>
      </c>
      <c r="G166" t="s">
        <v>26</v>
      </c>
      <c r="H166" t="b">
        <v>0</v>
      </c>
      <c r="I166">
        <v>2</v>
      </c>
    </row>
    <row r="167" spans="1:9">
      <c r="A167" t="s">
        <v>170</v>
      </c>
      <c r="B167" t="s">
        <v>449</v>
      </c>
      <c r="C167">
        <v>3</v>
      </c>
      <c r="D167">
        <v>4</v>
      </c>
      <c r="E167" s="30">
        <v>46130.662652638901</v>
      </c>
      <c r="F167" t="s">
        <v>284</v>
      </c>
      <c r="G167" t="s">
        <v>26</v>
      </c>
      <c r="H167" t="b">
        <v>0</v>
      </c>
      <c r="I167">
        <v>2</v>
      </c>
    </row>
    <row r="168" spans="1:9">
      <c r="A168" t="s">
        <v>172</v>
      </c>
      <c r="B168" t="s">
        <v>450</v>
      </c>
      <c r="C168">
        <v>3</v>
      </c>
      <c r="D168">
        <v>2</v>
      </c>
      <c r="E168" s="30">
        <v>46130.662652638901</v>
      </c>
      <c r="F168" t="s">
        <v>284</v>
      </c>
      <c r="G168" t="s">
        <v>26</v>
      </c>
      <c r="H168" t="b">
        <v>0</v>
      </c>
      <c r="I168">
        <v>2</v>
      </c>
    </row>
    <row r="169" spans="1:9">
      <c r="A169" t="s">
        <v>173</v>
      </c>
      <c r="B169" t="s">
        <v>451</v>
      </c>
      <c r="C169">
        <v>3</v>
      </c>
      <c r="D169">
        <v>1</v>
      </c>
      <c r="E169" s="30">
        <v>46130.662652638901</v>
      </c>
      <c r="F169" t="s">
        <v>284</v>
      </c>
      <c r="G169" t="s">
        <v>26</v>
      </c>
      <c r="H169" t="b">
        <v>1</v>
      </c>
      <c r="I169">
        <v>2</v>
      </c>
    </row>
    <row r="170" spans="1:9">
      <c r="A170" t="s">
        <v>174</v>
      </c>
      <c r="B170" t="s">
        <v>452</v>
      </c>
      <c r="C170">
        <v>3</v>
      </c>
      <c r="D170">
        <v>2</v>
      </c>
      <c r="E170" s="30">
        <v>46130.662652638901</v>
      </c>
      <c r="F170" t="s">
        <v>284</v>
      </c>
      <c r="G170" t="s">
        <v>26</v>
      </c>
      <c r="H170" t="b">
        <v>1</v>
      </c>
      <c r="I170">
        <v>2</v>
      </c>
    </row>
    <row r="171" spans="1:9">
      <c r="A171" t="s">
        <v>175</v>
      </c>
      <c r="B171" t="s">
        <v>453</v>
      </c>
      <c r="C171">
        <v>3</v>
      </c>
      <c r="D171">
        <v>2</v>
      </c>
      <c r="E171" s="30">
        <v>46130.662652638901</v>
      </c>
      <c r="F171" t="s">
        <v>284</v>
      </c>
      <c r="G171" t="s">
        <v>26</v>
      </c>
      <c r="H171" t="b">
        <v>1</v>
      </c>
      <c r="I171">
        <v>2</v>
      </c>
    </row>
    <row r="172" spans="1:9">
      <c r="A172" t="s">
        <v>177</v>
      </c>
      <c r="B172" t="s">
        <v>454</v>
      </c>
      <c r="C172">
        <v>3</v>
      </c>
      <c r="D172">
        <v>1</v>
      </c>
      <c r="E172" s="30">
        <v>46130.662652638901</v>
      </c>
      <c r="F172" t="s">
        <v>284</v>
      </c>
      <c r="G172" t="s">
        <v>26</v>
      </c>
      <c r="H172" t="b">
        <v>1</v>
      </c>
      <c r="I172">
        <v>2</v>
      </c>
    </row>
    <row r="173" spans="1:9">
      <c r="A173" t="s">
        <v>180</v>
      </c>
      <c r="B173" t="s">
        <v>455</v>
      </c>
      <c r="C173">
        <v>3</v>
      </c>
      <c r="D173">
        <v>8</v>
      </c>
      <c r="E173" s="30">
        <v>46130.662652638901</v>
      </c>
      <c r="F173" t="s">
        <v>284</v>
      </c>
      <c r="G173" t="s">
        <v>26</v>
      </c>
      <c r="H173" t="b">
        <v>0</v>
      </c>
      <c r="I173">
        <v>2</v>
      </c>
    </row>
    <row r="174" spans="1:9">
      <c r="A174" t="s">
        <v>182</v>
      </c>
      <c r="B174" t="s">
        <v>456</v>
      </c>
      <c r="C174">
        <v>3</v>
      </c>
      <c r="D174">
        <v>2</v>
      </c>
      <c r="E174" s="30">
        <v>46130.662652638901</v>
      </c>
      <c r="F174" t="s">
        <v>284</v>
      </c>
      <c r="G174" t="s">
        <v>26</v>
      </c>
      <c r="H174" t="b">
        <v>0</v>
      </c>
      <c r="I174">
        <v>2</v>
      </c>
    </row>
    <row r="175" spans="1:9">
      <c r="A175" t="s">
        <v>184</v>
      </c>
      <c r="B175" t="s">
        <v>457</v>
      </c>
      <c r="C175">
        <v>3</v>
      </c>
      <c r="D175">
        <v>1</v>
      </c>
      <c r="E175" s="30">
        <v>46130.662652638901</v>
      </c>
      <c r="F175" t="s">
        <v>284</v>
      </c>
      <c r="G175" t="s">
        <v>26</v>
      </c>
      <c r="H175" t="b">
        <v>0</v>
      </c>
      <c r="I175">
        <v>2</v>
      </c>
    </row>
    <row r="176" spans="1:9">
      <c r="A176" t="s">
        <v>186</v>
      </c>
      <c r="B176" t="s">
        <v>458</v>
      </c>
      <c r="C176">
        <v>3</v>
      </c>
      <c r="D176">
        <v>2</v>
      </c>
      <c r="E176" s="30">
        <v>46130.662652638901</v>
      </c>
      <c r="F176" t="s">
        <v>284</v>
      </c>
      <c r="G176" t="s">
        <v>26</v>
      </c>
      <c r="H176" t="b">
        <v>0</v>
      </c>
      <c r="I176">
        <v>2</v>
      </c>
    </row>
    <row r="177" spans="1:9">
      <c r="A177" t="s">
        <v>188</v>
      </c>
      <c r="B177" t="s">
        <v>459</v>
      </c>
      <c r="C177">
        <v>3</v>
      </c>
      <c r="D177">
        <v>0</v>
      </c>
      <c r="E177" s="30">
        <v>46130.662652638901</v>
      </c>
      <c r="F177" t="s">
        <v>284</v>
      </c>
      <c r="G177" t="s">
        <v>26</v>
      </c>
      <c r="H177" t="b">
        <v>0</v>
      </c>
      <c r="I177">
        <v>2</v>
      </c>
    </row>
    <row r="178" spans="1:9">
      <c r="A178" t="s">
        <v>190</v>
      </c>
      <c r="B178" t="s">
        <v>460</v>
      </c>
      <c r="C178">
        <v>3</v>
      </c>
      <c r="D178">
        <v>2</v>
      </c>
      <c r="E178" s="30">
        <v>46130.662652638901</v>
      </c>
      <c r="F178" t="s">
        <v>284</v>
      </c>
      <c r="G178" t="s">
        <v>26</v>
      </c>
      <c r="H178" t="b">
        <v>0</v>
      </c>
      <c r="I178">
        <v>2</v>
      </c>
    </row>
    <row r="179" spans="1:9">
      <c r="A179" t="s">
        <v>192</v>
      </c>
      <c r="B179" t="s">
        <v>461</v>
      </c>
      <c r="C179">
        <v>3</v>
      </c>
      <c r="D179">
        <v>1</v>
      </c>
      <c r="E179" s="30">
        <v>46130.662652638901</v>
      </c>
      <c r="F179" t="s">
        <v>284</v>
      </c>
      <c r="G179" t="s">
        <v>26</v>
      </c>
      <c r="H179" t="b">
        <v>0</v>
      </c>
      <c r="I179">
        <v>2</v>
      </c>
    </row>
    <row r="180" spans="1:9">
      <c r="A180" t="s">
        <v>194</v>
      </c>
      <c r="B180" t="s">
        <v>462</v>
      </c>
      <c r="C180">
        <v>3</v>
      </c>
      <c r="D180">
        <v>2</v>
      </c>
      <c r="E180" s="30">
        <v>46130.662652638901</v>
      </c>
      <c r="F180" t="s">
        <v>284</v>
      </c>
      <c r="G180" t="s">
        <v>26</v>
      </c>
      <c r="H180" t="b">
        <v>0</v>
      </c>
      <c r="I180">
        <v>2</v>
      </c>
    </row>
    <row r="181" spans="1:9">
      <c r="A181" t="s">
        <v>196</v>
      </c>
      <c r="B181" t="s">
        <v>463</v>
      </c>
      <c r="C181">
        <v>3</v>
      </c>
      <c r="D181">
        <v>1</v>
      </c>
      <c r="E181" s="30">
        <v>46130.662652638901</v>
      </c>
      <c r="F181" t="s">
        <v>284</v>
      </c>
      <c r="G181" t="s">
        <v>26</v>
      </c>
      <c r="H181" t="b">
        <v>0</v>
      </c>
      <c r="I181">
        <v>2</v>
      </c>
    </row>
    <row r="182" spans="1:9">
      <c r="A182" t="s">
        <v>198</v>
      </c>
      <c r="B182" t="s">
        <v>464</v>
      </c>
      <c r="C182">
        <v>3</v>
      </c>
      <c r="D182">
        <v>1</v>
      </c>
      <c r="E182" s="30">
        <v>46130.662652638901</v>
      </c>
      <c r="F182" t="s">
        <v>284</v>
      </c>
      <c r="G182" t="s">
        <v>26</v>
      </c>
      <c r="H182" t="b">
        <v>0</v>
      </c>
      <c r="I182">
        <v>2</v>
      </c>
    </row>
    <row r="183" spans="1:9">
      <c r="A183" t="s">
        <v>200</v>
      </c>
      <c r="B183" t="s">
        <v>465</v>
      </c>
      <c r="C183">
        <v>3</v>
      </c>
      <c r="D183">
        <v>1</v>
      </c>
      <c r="E183" s="30">
        <v>46130.662652638901</v>
      </c>
      <c r="F183" t="s">
        <v>284</v>
      </c>
      <c r="G183" t="s">
        <v>26</v>
      </c>
      <c r="H183" t="b">
        <v>0</v>
      </c>
      <c r="I183">
        <v>2</v>
      </c>
    </row>
    <row r="184" spans="1:9">
      <c r="A184" t="s">
        <v>204</v>
      </c>
      <c r="B184" t="s">
        <v>466</v>
      </c>
      <c r="C184">
        <v>3</v>
      </c>
      <c r="D184">
        <v>4</v>
      </c>
      <c r="E184" s="30">
        <v>46130.662652638901</v>
      </c>
      <c r="F184" t="s">
        <v>284</v>
      </c>
      <c r="G184" t="s">
        <v>26</v>
      </c>
      <c r="H184" t="b">
        <v>1</v>
      </c>
      <c r="I184">
        <v>2</v>
      </c>
    </row>
    <row r="185" spans="1:9">
      <c r="A185" t="s">
        <v>206</v>
      </c>
      <c r="B185" t="s">
        <v>467</v>
      </c>
      <c r="C185">
        <v>3</v>
      </c>
      <c r="D185">
        <v>2</v>
      </c>
      <c r="E185" s="30">
        <v>46130.662652638901</v>
      </c>
      <c r="F185" t="s">
        <v>284</v>
      </c>
      <c r="G185" t="s">
        <v>26</v>
      </c>
      <c r="H185" t="b">
        <v>1</v>
      </c>
      <c r="I185">
        <v>2</v>
      </c>
    </row>
    <row r="186" spans="1:9">
      <c r="A186" t="s">
        <v>209</v>
      </c>
      <c r="B186" t="s">
        <v>468</v>
      </c>
      <c r="C186">
        <v>3</v>
      </c>
      <c r="D186">
        <v>3</v>
      </c>
      <c r="E186" s="30">
        <v>46130.662652638901</v>
      </c>
      <c r="F186" t="s">
        <v>284</v>
      </c>
      <c r="G186" t="s">
        <v>27</v>
      </c>
      <c r="H186" t="b">
        <v>0</v>
      </c>
      <c r="I186">
        <v>3</v>
      </c>
    </row>
    <row r="187" spans="1:9">
      <c r="A187" t="s">
        <v>210</v>
      </c>
      <c r="B187" t="s">
        <v>469</v>
      </c>
      <c r="C187">
        <v>3</v>
      </c>
      <c r="D187">
        <v>2</v>
      </c>
      <c r="E187" s="30">
        <v>46130.662652638901</v>
      </c>
      <c r="F187" t="s">
        <v>284</v>
      </c>
      <c r="G187" t="s">
        <v>27</v>
      </c>
      <c r="H187" t="b">
        <v>0</v>
      </c>
      <c r="I187">
        <v>3</v>
      </c>
    </row>
    <row r="188" spans="1:9">
      <c r="A188" t="s">
        <v>211</v>
      </c>
      <c r="B188" t="s">
        <v>470</v>
      </c>
      <c r="C188">
        <v>3</v>
      </c>
      <c r="D188">
        <v>0</v>
      </c>
      <c r="E188" s="30">
        <v>46130.662652638901</v>
      </c>
      <c r="F188" t="s">
        <v>284</v>
      </c>
      <c r="G188" t="s">
        <v>27</v>
      </c>
      <c r="H188" t="b">
        <v>0</v>
      </c>
      <c r="I188">
        <v>3</v>
      </c>
    </row>
    <row r="189" spans="1:9">
      <c r="A189" t="s">
        <v>212</v>
      </c>
      <c r="B189" t="s">
        <v>471</v>
      </c>
      <c r="C189">
        <v>3</v>
      </c>
      <c r="D189">
        <v>2</v>
      </c>
      <c r="E189" s="30">
        <v>46130.662652638901</v>
      </c>
      <c r="F189" t="s">
        <v>284</v>
      </c>
      <c r="G189" t="s">
        <v>27</v>
      </c>
      <c r="H189" t="b">
        <v>0</v>
      </c>
      <c r="I189">
        <v>3</v>
      </c>
    </row>
    <row r="190" spans="1:9">
      <c r="A190" t="s">
        <v>213</v>
      </c>
      <c r="B190" t="s">
        <v>472</v>
      </c>
      <c r="C190">
        <v>3</v>
      </c>
      <c r="D190">
        <v>3</v>
      </c>
      <c r="E190" s="30">
        <v>46130.662652638901</v>
      </c>
      <c r="F190" t="s">
        <v>284</v>
      </c>
      <c r="G190" t="s">
        <v>27</v>
      </c>
      <c r="H190" t="b">
        <v>1</v>
      </c>
      <c r="I190">
        <v>3</v>
      </c>
    </row>
    <row r="191" spans="1:9">
      <c r="A191" t="s">
        <v>214</v>
      </c>
      <c r="B191" t="s">
        <v>473</v>
      </c>
      <c r="C191">
        <v>3</v>
      </c>
      <c r="D191">
        <v>4</v>
      </c>
      <c r="E191" s="30">
        <v>46130.662652638901</v>
      </c>
      <c r="F191" t="s">
        <v>284</v>
      </c>
      <c r="G191" t="s">
        <v>27</v>
      </c>
      <c r="H191" t="b">
        <v>1</v>
      </c>
      <c r="I191">
        <v>3</v>
      </c>
    </row>
    <row r="192" spans="1:9">
      <c r="A192" t="s">
        <v>215</v>
      </c>
      <c r="B192" t="s">
        <v>474</v>
      </c>
      <c r="C192">
        <v>3</v>
      </c>
      <c r="D192">
        <v>4</v>
      </c>
      <c r="E192" s="30">
        <v>46130.662652638901</v>
      </c>
      <c r="F192" t="s">
        <v>284</v>
      </c>
      <c r="G192" t="s">
        <v>27</v>
      </c>
      <c r="H192" t="b">
        <v>1</v>
      </c>
      <c r="I192">
        <v>3</v>
      </c>
    </row>
    <row r="193" spans="1:9">
      <c r="A193" t="s">
        <v>216</v>
      </c>
      <c r="B193" t="s">
        <v>475</v>
      </c>
      <c r="C193">
        <v>3</v>
      </c>
      <c r="D193">
        <v>1</v>
      </c>
      <c r="E193" s="30">
        <v>46130.662652638901</v>
      </c>
      <c r="F193" t="s">
        <v>284</v>
      </c>
      <c r="G193" t="s">
        <v>27</v>
      </c>
      <c r="H193" t="b">
        <v>1</v>
      </c>
      <c r="I193">
        <v>3</v>
      </c>
    </row>
    <row r="194" spans="1:9">
      <c r="A194" t="s">
        <v>218</v>
      </c>
      <c r="B194" t="s">
        <v>476</v>
      </c>
      <c r="C194">
        <v>3</v>
      </c>
      <c r="D194">
        <v>2</v>
      </c>
      <c r="E194" s="30">
        <v>46130.662652638901</v>
      </c>
      <c r="F194" t="s">
        <v>284</v>
      </c>
      <c r="G194" t="s">
        <v>27</v>
      </c>
      <c r="H194" t="b">
        <v>0</v>
      </c>
      <c r="I194">
        <v>3</v>
      </c>
    </row>
    <row r="195" spans="1:9">
      <c r="A195" t="s">
        <v>220</v>
      </c>
      <c r="B195" t="s">
        <v>477</v>
      </c>
      <c r="C195">
        <v>3</v>
      </c>
      <c r="D195">
        <v>0</v>
      </c>
      <c r="E195" s="30">
        <v>46130.662652638901</v>
      </c>
      <c r="F195" t="s">
        <v>284</v>
      </c>
      <c r="G195" t="s">
        <v>27</v>
      </c>
      <c r="H195" t="b">
        <v>0</v>
      </c>
      <c r="I195">
        <v>3</v>
      </c>
    </row>
    <row r="196" spans="1:9">
      <c r="A196" t="s">
        <v>222</v>
      </c>
      <c r="B196" t="s">
        <v>478</v>
      </c>
      <c r="C196">
        <v>3</v>
      </c>
      <c r="D196">
        <v>1</v>
      </c>
      <c r="E196" s="30">
        <v>46130.662652638901</v>
      </c>
      <c r="F196" t="s">
        <v>284</v>
      </c>
      <c r="G196" t="s">
        <v>27</v>
      </c>
      <c r="H196" t="b">
        <v>0</v>
      </c>
      <c r="I196">
        <v>3</v>
      </c>
    </row>
    <row r="197" spans="1:9">
      <c r="A197" t="s">
        <v>224</v>
      </c>
      <c r="B197" t="s">
        <v>479</v>
      </c>
      <c r="C197">
        <v>3</v>
      </c>
      <c r="D197">
        <v>0</v>
      </c>
      <c r="E197" s="30">
        <v>46130.662652638901</v>
      </c>
      <c r="F197" t="s">
        <v>284</v>
      </c>
      <c r="G197" t="s">
        <v>27</v>
      </c>
      <c r="H197" t="b">
        <v>0</v>
      </c>
      <c r="I197">
        <v>3</v>
      </c>
    </row>
    <row r="198" spans="1:9">
      <c r="A198" t="s">
        <v>226</v>
      </c>
      <c r="B198" t="s">
        <v>480</v>
      </c>
      <c r="C198">
        <v>3</v>
      </c>
      <c r="D198">
        <v>4</v>
      </c>
      <c r="E198" s="30">
        <v>46130.662652638901</v>
      </c>
      <c r="F198" t="s">
        <v>284</v>
      </c>
      <c r="G198" t="s">
        <v>27</v>
      </c>
      <c r="H198" t="b">
        <v>0</v>
      </c>
      <c r="I198">
        <v>3</v>
      </c>
    </row>
    <row r="199" spans="1:9">
      <c r="A199" t="s">
        <v>228</v>
      </c>
      <c r="B199" t="s">
        <v>481</v>
      </c>
      <c r="C199">
        <v>3</v>
      </c>
      <c r="D199">
        <v>4</v>
      </c>
      <c r="E199" s="30">
        <v>46130.662652638901</v>
      </c>
      <c r="F199" t="s">
        <v>284</v>
      </c>
      <c r="G199" t="s">
        <v>27</v>
      </c>
      <c r="H199" t="b">
        <v>0</v>
      </c>
      <c r="I199">
        <v>3</v>
      </c>
    </row>
    <row r="200" spans="1:9">
      <c r="A200" t="s">
        <v>230</v>
      </c>
      <c r="B200" t="s">
        <v>482</v>
      </c>
      <c r="C200">
        <v>3</v>
      </c>
      <c r="D200">
        <v>1</v>
      </c>
      <c r="E200" s="30">
        <v>46130.662652638901</v>
      </c>
      <c r="F200" t="s">
        <v>284</v>
      </c>
      <c r="G200" t="s">
        <v>27</v>
      </c>
      <c r="H200" t="b">
        <v>0</v>
      </c>
      <c r="I200">
        <v>3</v>
      </c>
    </row>
    <row r="201" spans="1:9">
      <c r="A201" t="s">
        <v>231</v>
      </c>
      <c r="B201" t="s">
        <v>483</v>
      </c>
      <c r="C201">
        <v>3</v>
      </c>
      <c r="D201">
        <v>0</v>
      </c>
      <c r="E201" s="30">
        <v>46130.662652638901</v>
      </c>
      <c r="F201" t="s">
        <v>284</v>
      </c>
      <c r="G201" t="s">
        <v>27</v>
      </c>
      <c r="H201" t="b">
        <v>0</v>
      </c>
      <c r="I201">
        <v>3</v>
      </c>
    </row>
    <row r="202" spans="1:9">
      <c r="A202" t="s">
        <v>233</v>
      </c>
      <c r="B202" t="s">
        <v>484</v>
      </c>
      <c r="C202">
        <v>3</v>
      </c>
      <c r="D202">
        <v>4</v>
      </c>
      <c r="E202" s="30">
        <v>46130.662652638901</v>
      </c>
      <c r="F202" t="s">
        <v>284</v>
      </c>
      <c r="G202" t="s">
        <v>27</v>
      </c>
      <c r="H202" t="b">
        <v>0</v>
      </c>
      <c r="I202">
        <v>3</v>
      </c>
    </row>
    <row r="203" spans="1:9">
      <c r="A203" t="s">
        <v>235</v>
      </c>
      <c r="B203" t="s">
        <v>485</v>
      </c>
      <c r="C203">
        <v>3</v>
      </c>
      <c r="D203">
        <v>4</v>
      </c>
      <c r="E203" s="30">
        <v>46130.662652638901</v>
      </c>
      <c r="F203" t="s">
        <v>284</v>
      </c>
      <c r="G203" t="s">
        <v>27</v>
      </c>
      <c r="H203" t="b">
        <v>0</v>
      </c>
      <c r="I203">
        <v>3</v>
      </c>
    </row>
    <row r="204" spans="1:9">
      <c r="A204" t="s">
        <v>237</v>
      </c>
      <c r="B204" t="s">
        <v>486</v>
      </c>
      <c r="C204">
        <v>3</v>
      </c>
      <c r="D204">
        <v>0</v>
      </c>
      <c r="E204" s="30">
        <v>46130.662652638901</v>
      </c>
      <c r="F204" t="s">
        <v>284</v>
      </c>
      <c r="G204" t="s">
        <v>27</v>
      </c>
      <c r="H204" t="b">
        <v>0</v>
      </c>
      <c r="I204">
        <v>3</v>
      </c>
    </row>
    <row r="205" spans="1:9">
      <c r="A205" t="s">
        <v>239</v>
      </c>
      <c r="B205" t="s">
        <v>487</v>
      </c>
      <c r="C205">
        <v>3</v>
      </c>
      <c r="D205">
        <v>1</v>
      </c>
      <c r="E205" s="30">
        <v>46130.662652638901</v>
      </c>
      <c r="F205" t="s">
        <v>284</v>
      </c>
      <c r="G205" t="s">
        <v>27</v>
      </c>
      <c r="H205" t="b">
        <v>0</v>
      </c>
      <c r="I205">
        <v>3</v>
      </c>
    </row>
    <row r="206" spans="1:9">
      <c r="A206" t="s">
        <v>241</v>
      </c>
      <c r="B206" t="s">
        <v>488</v>
      </c>
      <c r="C206">
        <v>3</v>
      </c>
      <c r="D206">
        <v>2</v>
      </c>
      <c r="E206" s="30">
        <v>46130.662652638901</v>
      </c>
      <c r="F206" t="s">
        <v>284</v>
      </c>
      <c r="G206" t="s">
        <v>27</v>
      </c>
      <c r="H206" t="b">
        <v>0</v>
      </c>
      <c r="I206">
        <v>3</v>
      </c>
    </row>
    <row r="207" spans="1:9">
      <c r="A207" t="s">
        <v>243</v>
      </c>
      <c r="B207" t="s">
        <v>489</v>
      </c>
      <c r="C207">
        <v>3</v>
      </c>
      <c r="D207">
        <v>4</v>
      </c>
      <c r="E207" s="30">
        <v>46130.662652638901</v>
      </c>
      <c r="F207" t="s">
        <v>284</v>
      </c>
      <c r="G207" t="s">
        <v>27</v>
      </c>
      <c r="H207" t="b">
        <v>1</v>
      </c>
      <c r="I207">
        <v>3</v>
      </c>
    </row>
    <row r="208" spans="1:9">
      <c r="A208" t="s">
        <v>244</v>
      </c>
      <c r="B208" t="s">
        <v>490</v>
      </c>
      <c r="C208">
        <v>3</v>
      </c>
      <c r="D208">
        <v>1</v>
      </c>
      <c r="E208" s="30">
        <v>46130.662652638901</v>
      </c>
      <c r="F208" t="s">
        <v>284</v>
      </c>
      <c r="G208" t="s">
        <v>27</v>
      </c>
      <c r="H208" t="b">
        <v>1</v>
      </c>
      <c r="I208">
        <v>3</v>
      </c>
    </row>
    <row r="209" spans="1:9">
      <c r="A209" t="s">
        <v>246</v>
      </c>
      <c r="B209" t="s">
        <v>491</v>
      </c>
      <c r="C209">
        <v>3</v>
      </c>
      <c r="D209">
        <v>0</v>
      </c>
      <c r="E209" s="30">
        <v>46130.662652638901</v>
      </c>
      <c r="F209" t="s">
        <v>284</v>
      </c>
      <c r="G209" t="s">
        <v>28</v>
      </c>
      <c r="H209" t="b">
        <v>0</v>
      </c>
      <c r="I209">
        <v>4</v>
      </c>
    </row>
    <row r="210" spans="1:9">
      <c r="A210" t="s">
        <v>247</v>
      </c>
      <c r="B210" t="s">
        <v>492</v>
      </c>
      <c r="C210">
        <v>3</v>
      </c>
      <c r="D210">
        <v>0</v>
      </c>
      <c r="E210" s="30">
        <v>46130.662652638901</v>
      </c>
      <c r="F210" t="s">
        <v>284</v>
      </c>
      <c r="G210" t="s">
        <v>28</v>
      </c>
      <c r="H210" t="b">
        <v>0</v>
      </c>
      <c r="I210">
        <v>4</v>
      </c>
    </row>
    <row r="211" spans="1:9">
      <c r="A211" t="s">
        <v>248</v>
      </c>
      <c r="B211" t="s">
        <v>493</v>
      </c>
      <c r="C211">
        <v>3</v>
      </c>
      <c r="D211">
        <v>0</v>
      </c>
      <c r="E211" s="30">
        <v>46130.662652638901</v>
      </c>
      <c r="F211" t="s">
        <v>284</v>
      </c>
      <c r="G211" t="s">
        <v>28</v>
      </c>
      <c r="H211" t="b">
        <v>0</v>
      </c>
      <c r="I211">
        <v>4</v>
      </c>
    </row>
    <row r="212" spans="1:9">
      <c r="A212" t="s">
        <v>249</v>
      </c>
      <c r="B212" t="s">
        <v>494</v>
      </c>
      <c r="C212">
        <v>3</v>
      </c>
      <c r="D212">
        <v>0</v>
      </c>
      <c r="E212" s="30">
        <v>46130.662652638901</v>
      </c>
      <c r="F212" t="s">
        <v>284</v>
      </c>
      <c r="G212" t="s">
        <v>28</v>
      </c>
      <c r="H212" t="b">
        <v>0</v>
      </c>
      <c r="I212">
        <v>4</v>
      </c>
    </row>
    <row r="213" spans="1:9">
      <c r="A213" t="s">
        <v>250</v>
      </c>
      <c r="B213" t="s">
        <v>495</v>
      </c>
      <c r="C213">
        <v>3</v>
      </c>
      <c r="D213">
        <v>0</v>
      </c>
      <c r="E213" s="30">
        <v>46130.662652638901</v>
      </c>
      <c r="F213" t="s">
        <v>284</v>
      </c>
      <c r="G213" t="s">
        <v>28</v>
      </c>
      <c r="H213" t="b">
        <v>1</v>
      </c>
      <c r="I213">
        <v>4</v>
      </c>
    </row>
    <row r="214" spans="1:9">
      <c r="A214" t="s">
        <v>251</v>
      </c>
      <c r="B214" t="s">
        <v>496</v>
      </c>
      <c r="C214">
        <v>3</v>
      </c>
      <c r="D214">
        <v>0</v>
      </c>
      <c r="E214" s="30">
        <v>46130.662652638901</v>
      </c>
      <c r="F214" t="s">
        <v>284</v>
      </c>
      <c r="G214" t="s">
        <v>28</v>
      </c>
      <c r="H214" t="b">
        <v>1</v>
      </c>
      <c r="I214">
        <v>4</v>
      </c>
    </row>
    <row r="215" spans="1:9">
      <c r="A215" t="s">
        <v>252</v>
      </c>
      <c r="B215" t="s">
        <v>497</v>
      </c>
      <c r="C215">
        <v>3</v>
      </c>
      <c r="D215">
        <v>0</v>
      </c>
      <c r="E215" s="30">
        <v>46130.662652638901</v>
      </c>
      <c r="F215" t="s">
        <v>284</v>
      </c>
      <c r="G215" t="s">
        <v>28</v>
      </c>
      <c r="H215" t="b">
        <v>1</v>
      </c>
      <c r="I215">
        <v>4</v>
      </c>
    </row>
    <row r="216" spans="1:9">
      <c r="A216" t="s">
        <v>253</v>
      </c>
      <c r="B216" t="s">
        <v>498</v>
      </c>
      <c r="C216">
        <v>3</v>
      </c>
      <c r="D216">
        <v>0</v>
      </c>
      <c r="E216" s="30">
        <v>46130.662652638901</v>
      </c>
      <c r="F216" t="s">
        <v>284</v>
      </c>
      <c r="G216" t="s">
        <v>28</v>
      </c>
      <c r="H216" t="b">
        <v>1</v>
      </c>
      <c r="I216">
        <v>4</v>
      </c>
    </row>
    <row r="217" spans="1:9">
      <c r="A217" t="s">
        <v>255</v>
      </c>
      <c r="B217" t="s">
        <v>499</v>
      </c>
      <c r="C217">
        <v>3</v>
      </c>
      <c r="D217">
        <v>0</v>
      </c>
      <c r="E217" s="30">
        <v>46130.662652638901</v>
      </c>
      <c r="F217" t="s">
        <v>284</v>
      </c>
      <c r="G217" t="s">
        <v>28</v>
      </c>
      <c r="H217" t="b">
        <v>0</v>
      </c>
      <c r="I217">
        <v>4</v>
      </c>
    </row>
    <row r="218" spans="1:9">
      <c r="A218" t="s">
        <v>257</v>
      </c>
      <c r="B218" t="s">
        <v>500</v>
      </c>
      <c r="C218">
        <v>3</v>
      </c>
      <c r="D218">
        <v>0</v>
      </c>
      <c r="E218" s="30">
        <v>46130.662652638901</v>
      </c>
      <c r="F218" t="s">
        <v>284</v>
      </c>
      <c r="G218" t="s">
        <v>28</v>
      </c>
      <c r="H218" t="b">
        <v>0</v>
      </c>
      <c r="I218">
        <v>4</v>
      </c>
    </row>
    <row r="219" spans="1:9">
      <c r="A219" t="s">
        <v>259</v>
      </c>
      <c r="B219" t="s">
        <v>501</v>
      </c>
      <c r="C219">
        <v>3</v>
      </c>
      <c r="D219">
        <v>0</v>
      </c>
      <c r="E219" s="30">
        <v>46130.662652638901</v>
      </c>
      <c r="F219" t="s">
        <v>284</v>
      </c>
      <c r="G219" t="s">
        <v>28</v>
      </c>
      <c r="H219" t="b">
        <v>0</v>
      </c>
      <c r="I219">
        <v>4</v>
      </c>
    </row>
    <row r="220" spans="1:9">
      <c r="A220" t="s">
        <v>260</v>
      </c>
      <c r="B220" t="s">
        <v>502</v>
      </c>
      <c r="C220">
        <v>3</v>
      </c>
      <c r="D220">
        <v>0</v>
      </c>
      <c r="E220" s="30">
        <v>46130.662652638901</v>
      </c>
      <c r="F220" t="s">
        <v>284</v>
      </c>
      <c r="G220" t="s">
        <v>28</v>
      </c>
      <c r="H220" t="b">
        <v>0</v>
      </c>
      <c r="I220">
        <v>4</v>
      </c>
    </row>
    <row r="221" spans="1:9">
      <c r="A221" t="s">
        <v>262</v>
      </c>
      <c r="B221" t="s">
        <v>503</v>
      </c>
      <c r="C221">
        <v>3</v>
      </c>
      <c r="D221">
        <v>0</v>
      </c>
      <c r="E221" s="30">
        <v>46130.662652638901</v>
      </c>
      <c r="F221" t="s">
        <v>284</v>
      </c>
      <c r="G221" t="s">
        <v>28</v>
      </c>
      <c r="H221" t="b">
        <v>0</v>
      </c>
      <c r="I221">
        <v>4</v>
      </c>
    </row>
    <row r="222" spans="1:9">
      <c r="A222" t="s">
        <v>264</v>
      </c>
      <c r="B222" t="s">
        <v>504</v>
      </c>
      <c r="C222">
        <v>3</v>
      </c>
      <c r="D222">
        <v>0</v>
      </c>
      <c r="E222" s="30">
        <v>46130.662652638901</v>
      </c>
      <c r="F222" t="s">
        <v>284</v>
      </c>
      <c r="G222" t="s">
        <v>28</v>
      </c>
      <c r="H222" t="b">
        <v>0</v>
      </c>
      <c r="I222">
        <v>4</v>
      </c>
    </row>
    <row r="223" spans="1:9">
      <c r="A223" t="s">
        <v>266</v>
      </c>
      <c r="B223" t="s">
        <v>505</v>
      </c>
      <c r="C223">
        <v>3</v>
      </c>
      <c r="D223">
        <v>0</v>
      </c>
      <c r="E223" s="30">
        <v>46130.662652638901</v>
      </c>
      <c r="F223" t="s">
        <v>284</v>
      </c>
      <c r="G223" t="s">
        <v>28</v>
      </c>
      <c r="H223" t="b">
        <v>0</v>
      </c>
      <c r="I223">
        <v>4</v>
      </c>
    </row>
    <row r="224" spans="1:9">
      <c r="A224" t="s">
        <v>267</v>
      </c>
      <c r="B224" t="s">
        <v>506</v>
      </c>
      <c r="C224">
        <v>3</v>
      </c>
      <c r="D224">
        <v>0</v>
      </c>
      <c r="E224" s="30">
        <v>46130.662652638901</v>
      </c>
      <c r="F224" t="s">
        <v>284</v>
      </c>
      <c r="G224" t="s">
        <v>28</v>
      </c>
      <c r="H224" t="b">
        <v>0</v>
      </c>
      <c r="I224">
        <v>4</v>
      </c>
    </row>
    <row r="225" spans="1:9">
      <c r="A225" t="s">
        <v>269</v>
      </c>
      <c r="B225" t="s">
        <v>507</v>
      </c>
      <c r="C225">
        <v>3</v>
      </c>
      <c r="D225">
        <v>0</v>
      </c>
      <c r="E225" s="30">
        <v>46130.662652638901</v>
      </c>
      <c r="F225" t="s">
        <v>284</v>
      </c>
      <c r="G225" t="s">
        <v>28</v>
      </c>
      <c r="H225" t="b">
        <v>0</v>
      </c>
      <c r="I225">
        <v>4</v>
      </c>
    </row>
    <row r="226" spans="1:9">
      <c r="A226" t="s">
        <v>270</v>
      </c>
      <c r="B226" t="s">
        <v>508</v>
      </c>
      <c r="C226">
        <v>3</v>
      </c>
      <c r="D226">
        <v>0</v>
      </c>
      <c r="E226" s="30">
        <v>46130.662652638901</v>
      </c>
      <c r="F226" t="s">
        <v>284</v>
      </c>
      <c r="G226" t="s">
        <v>28</v>
      </c>
      <c r="H226" t="b">
        <v>0</v>
      </c>
      <c r="I226">
        <v>4</v>
      </c>
    </row>
    <row r="227" spans="1:9">
      <c r="A227" t="s">
        <v>272</v>
      </c>
      <c r="B227" t="s">
        <v>509</v>
      </c>
      <c r="C227">
        <v>3</v>
      </c>
      <c r="D227">
        <v>0</v>
      </c>
      <c r="E227" s="30">
        <v>46130.662652638901</v>
      </c>
      <c r="F227" t="s">
        <v>284</v>
      </c>
      <c r="G227" t="s">
        <v>28</v>
      </c>
      <c r="H227" t="b">
        <v>0</v>
      </c>
      <c r="I227">
        <v>4</v>
      </c>
    </row>
    <row r="228" spans="1:9">
      <c r="A228" t="s">
        <v>275</v>
      </c>
      <c r="B228" t="s">
        <v>510</v>
      </c>
      <c r="C228">
        <v>3</v>
      </c>
      <c r="D228">
        <v>0</v>
      </c>
      <c r="E228" s="30">
        <v>46130.662652638901</v>
      </c>
      <c r="F228" t="s">
        <v>284</v>
      </c>
      <c r="G228" t="s">
        <v>28</v>
      </c>
      <c r="H228" t="b">
        <v>1</v>
      </c>
      <c r="I228">
        <v>4</v>
      </c>
    </row>
    <row r="229" spans="1:9">
      <c r="A229" t="s">
        <v>276</v>
      </c>
      <c r="B229" t="s">
        <v>511</v>
      </c>
      <c r="C229">
        <v>3</v>
      </c>
      <c r="D229">
        <v>1</v>
      </c>
      <c r="E229" s="30">
        <v>46130.662652638901</v>
      </c>
      <c r="F229" t="s">
        <v>284</v>
      </c>
      <c r="G229" t="s">
        <v>28</v>
      </c>
      <c r="H229" t="b">
        <v>1</v>
      </c>
      <c r="I229">
        <v>4</v>
      </c>
    </row>
    <row r="230" spans="1:9">
      <c r="A230" t="s">
        <v>54</v>
      </c>
      <c r="B230" t="s">
        <v>512</v>
      </c>
      <c r="C230">
        <v>2</v>
      </c>
      <c r="D230">
        <v>5</v>
      </c>
      <c r="E230" s="30">
        <v>46130.724881388887</v>
      </c>
      <c r="F230" t="s">
        <v>513</v>
      </c>
      <c r="G230" t="s">
        <v>24</v>
      </c>
      <c r="H230" t="b">
        <v>0</v>
      </c>
      <c r="I230">
        <v>0</v>
      </c>
    </row>
    <row r="231" spans="1:9">
      <c r="A231" t="s">
        <v>56</v>
      </c>
      <c r="B231" t="s">
        <v>514</v>
      </c>
      <c r="C231">
        <v>2</v>
      </c>
      <c r="D231">
        <v>3</v>
      </c>
      <c r="E231" s="30">
        <v>46130.724881388887</v>
      </c>
      <c r="F231" t="s">
        <v>513</v>
      </c>
      <c r="G231" t="s">
        <v>24</v>
      </c>
      <c r="H231" t="b">
        <v>0</v>
      </c>
      <c r="I231">
        <v>0</v>
      </c>
    </row>
    <row r="232" spans="1:9">
      <c r="A232" t="s">
        <v>58</v>
      </c>
      <c r="B232" t="s">
        <v>515</v>
      </c>
      <c r="C232">
        <v>2</v>
      </c>
      <c r="D232">
        <v>5</v>
      </c>
      <c r="E232" s="30">
        <v>46130.724881388887</v>
      </c>
      <c r="F232" t="s">
        <v>513</v>
      </c>
      <c r="G232" t="s">
        <v>24</v>
      </c>
      <c r="H232" t="b">
        <v>0</v>
      </c>
      <c r="I232">
        <v>0</v>
      </c>
    </row>
    <row r="233" spans="1:9">
      <c r="A233" t="s">
        <v>62</v>
      </c>
      <c r="B233" t="s">
        <v>516</v>
      </c>
      <c r="C233">
        <v>2</v>
      </c>
      <c r="D233">
        <v>3</v>
      </c>
      <c r="E233" s="30">
        <v>46130.724881388887</v>
      </c>
      <c r="F233" t="s">
        <v>513</v>
      </c>
      <c r="G233" t="s">
        <v>24</v>
      </c>
      <c r="H233" t="b">
        <v>0</v>
      </c>
      <c r="I233">
        <v>0</v>
      </c>
    </row>
    <row r="234" spans="1:9">
      <c r="A234" t="s">
        <v>64</v>
      </c>
      <c r="B234" t="s">
        <v>517</v>
      </c>
      <c r="C234">
        <v>2</v>
      </c>
      <c r="D234">
        <v>5</v>
      </c>
      <c r="E234" s="30">
        <v>46130.724881388887</v>
      </c>
      <c r="F234" t="s">
        <v>513</v>
      </c>
      <c r="G234" t="s">
        <v>24</v>
      </c>
      <c r="H234" t="b">
        <v>0</v>
      </c>
      <c r="I234">
        <v>0</v>
      </c>
    </row>
    <row r="235" spans="1:9">
      <c r="A235" t="s">
        <v>66</v>
      </c>
      <c r="B235" t="s">
        <v>518</v>
      </c>
      <c r="C235">
        <v>2</v>
      </c>
      <c r="D235">
        <v>5</v>
      </c>
      <c r="E235" s="30">
        <v>46130.724881388887</v>
      </c>
      <c r="F235" t="s">
        <v>513</v>
      </c>
      <c r="G235" t="s">
        <v>24</v>
      </c>
      <c r="H235" t="b">
        <v>0</v>
      </c>
      <c r="I235">
        <v>0</v>
      </c>
    </row>
    <row r="236" spans="1:9">
      <c r="A236" t="s">
        <v>70</v>
      </c>
      <c r="B236" t="s">
        <v>519</v>
      </c>
      <c r="C236">
        <v>2</v>
      </c>
      <c r="D236">
        <v>3</v>
      </c>
      <c r="E236" s="30">
        <v>46130.724881388887</v>
      </c>
      <c r="F236" t="s">
        <v>513</v>
      </c>
      <c r="G236" t="s">
        <v>24</v>
      </c>
      <c r="H236" t="b">
        <v>0</v>
      </c>
      <c r="I236">
        <v>0</v>
      </c>
    </row>
    <row r="237" spans="1:9">
      <c r="A237" t="s">
        <v>72</v>
      </c>
      <c r="B237" t="s">
        <v>520</v>
      </c>
      <c r="C237">
        <v>2</v>
      </c>
      <c r="D237">
        <v>5</v>
      </c>
      <c r="E237" s="30">
        <v>46130.724881388887</v>
      </c>
      <c r="F237" t="s">
        <v>513</v>
      </c>
      <c r="G237" t="s">
        <v>24</v>
      </c>
      <c r="H237" t="b">
        <v>0</v>
      </c>
      <c r="I237">
        <v>0</v>
      </c>
    </row>
    <row r="238" spans="1:9">
      <c r="A238" t="s">
        <v>74</v>
      </c>
      <c r="B238" t="s">
        <v>521</v>
      </c>
      <c r="C238">
        <v>2</v>
      </c>
      <c r="D238">
        <v>1</v>
      </c>
      <c r="E238" s="30">
        <v>46130.724881388887</v>
      </c>
      <c r="F238" t="s">
        <v>513</v>
      </c>
      <c r="G238" t="s">
        <v>24</v>
      </c>
      <c r="H238" t="b">
        <v>0</v>
      </c>
      <c r="I238">
        <v>0</v>
      </c>
    </row>
    <row r="239" spans="1:9">
      <c r="A239" t="s">
        <v>76</v>
      </c>
      <c r="B239" t="s">
        <v>522</v>
      </c>
      <c r="C239">
        <v>2</v>
      </c>
      <c r="D239">
        <v>4</v>
      </c>
      <c r="E239" s="30">
        <v>46130.724881388887</v>
      </c>
      <c r="F239" t="s">
        <v>513</v>
      </c>
      <c r="G239" t="s">
        <v>24</v>
      </c>
      <c r="H239" t="b">
        <v>0</v>
      </c>
      <c r="I239">
        <v>0</v>
      </c>
    </row>
    <row r="240" spans="1:9">
      <c r="A240" t="s">
        <v>78</v>
      </c>
      <c r="B240" t="s">
        <v>523</v>
      </c>
      <c r="C240">
        <v>2</v>
      </c>
      <c r="D240">
        <v>3</v>
      </c>
      <c r="E240" s="30">
        <v>46130.724881388887</v>
      </c>
      <c r="F240" t="s">
        <v>513</v>
      </c>
      <c r="G240" t="s">
        <v>24</v>
      </c>
      <c r="H240" t="b">
        <v>0</v>
      </c>
      <c r="I240">
        <v>0</v>
      </c>
    </row>
    <row r="241" spans="1:9">
      <c r="A241" t="s">
        <v>80</v>
      </c>
      <c r="B241" t="s">
        <v>524</v>
      </c>
      <c r="C241">
        <v>2</v>
      </c>
      <c r="D241">
        <v>3</v>
      </c>
      <c r="E241" s="30">
        <v>46130.724881388887</v>
      </c>
      <c r="F241" t="s">
        <v>513</v>
      </c>
      <c r="G241" t="s">
        <v>24</v>
      </c>
      <c r="H241" t="b">
        <v>0</v>
      </c>
      <c r="I241">
        <v>0</v>
      </c>
    </row>
    <row r="242" spans="1:9">
      <c r="A242" t="s">
        <v>82</v>
      </c>
      <c r="B242" t="s">
        <v>525</v>
      </c>
      <c r="C242">
        <v>2</v>
      </c>
      <c r="D242">
        <v>3</v>
      </c>
      <c r="E242" s="30">
        <v>46130.724881388887</v>
      </c>
      <c r="F242" t="s">
        <v>513</v>
      </c>
      <c r="G242" t="s">
        <v>24</v>
      </c>
      <c r="H242" t="b">
        <v>0</v>
      </c>
      <c r="I242">
        <v>0</v>
      </c>
    </row>
    <row r="243" spans="1:9">
      <c r="A243" t="s">
        <v>84</v>
      </c>
      <c r="B243" t="s">
        <v>526</v>
      </c>
      <c r="C243">
        <v>2</v>
      </c>
      <c r="D243">
        <v>3</v>
      </c>
      <c r="E243" s="30">
        <v>46130.724881388887</v>
      </c>
      <c r="F243" t="s">
        <v>513</v>
      </c>
      <c r="G243" t="s">
        <v>24</v>
      </c>
      <c r="H243" t="b">
        <v>0</v>
      </c>
      <c r="I243">
        <v>0</v>
      </c>
    </row>
    <row r="244" spans="1:9">
      <c r="A244" t="s">
        <v>86</v>
      </c>
      <c r="B244" t="s">
        <v>527</v>
      </c>
      <c r="C244">
        <v>2</v>
      </c>
      <c r="D244">
        <v>1</v>
      </c>
      <c r="E244" s="30">
        <v>46130.724881388887</v>
      </c>
      <c r="F244" t="s">
        <v>513</v>
      </c>
      <c r="G244" t="s">
        <v>24</v>
      </c>
      <c r="H244" t="b">
        <v>0</v>
      </c>
      <c r="I244">
        <v>0</v>
      </c>
    </row>
    <row r="245" spans="1:9">
      <c r="A245" t="s">
        <v>88</v>
      </c>
      <c r="B245" t="s">
        <v>528</v>
      </c>
      <c r="C245">
        <v>2</v>
      </c>
      <c r="D245">
        <v>4</v>
      </c>
      <c r="E245" s="30">
        <v>46130.724881388887</v>
      </c>
      <c r="F245" t="s">
        <v>513</v>
      </c>
      <c r="G245" t="s">
        <v>24</v>
      </c>
      <c r="H245" t="b">
        <v>0</v>
      </c>
      <c r="I245">
        <v>0</v>
      </c>
    </row>
    <row r="246" spans="1:9">
      <c r="A246" t="s">
        <v>92</v>
      </c>
      <c r="B246" t="s">
        <v>529</v>
      </c>
      <c r="C246">
        <v>2</v>
      </c>
      <c r="D246">
        <v>5</v>
      </c>
      <c r="E246" s="30">
        <v>46130.724881388887</v>
      </c>
      <c r="F246" t="s">
        <v>513</v>
      </c>
      <c r="G246" t="s">
        <v>24</v>
      </c>
      <c r="H246" t="b">
        <v>1</v>
      </c>
      <c r="I246">
        <v>0</v>
      </c>
    </row>
    <row r="247" spans="1:9">
      <c r="A247" t="s">
        <v>94</v>
      </c>
      <c r="B247" t="s">
        <v>530</v>
      </c>
      <c r="C247">
        <v>2</v>
      </c>
      <c r="D247">
        <v>5</v>
      </c>
      <c r="E247" s="30">
        <v>46130.724881388887</v>
      </c>
      <c r="F247" t="s">
        <v>513</v>
      </c>
      <c r="G247" t="s">
        <v>24</v>
      </c>
      <c r="H247" t="b">
        <v>1</v>
      </c>
      <c r="I247">
        <v>0</v>
      </c>
    </row>
    <row r="248" spans="1:9">
      <c r="A248" t="s">
        <v>96</v>
      </c>
      <c r="B248" t="s">
        <v>531</v>
      </c>
      <c r="C248">
        <v>2</v>
      </c>
      <c r="D248">
        <v>4</v>
      </c>
      <c r="E248" s="30">
        <v>46130.724881388887</v>
      </c>
      <c r="F248" t="s">
        <v>513</v>
      </c>
      <c r="G248" t="s">
        <v>24</v>
      </c>
      <c r="H248" t="b">
        <v>1</v>
      </c>
      <c r="I248">
        <v>0</v>
      </c>
    </row>
    <row r="249" spans="1:9">
      <c r="A249" t="s">
        <v>98</v>
      </c>
      <c r="B249" t="s">
        <v>532</v>
      </c>
      <c r="C249">
        <v>2</v>
      </c>
      <c r="D249">
        <v>4</v>
      </c>
      <c r="E249" s="30">
        <v>46130.724881388887</v>
      </c>
      <c r="F249" t="s">
        <v>513</v>
      </c>
      <c r="G249" t="s">
        <v>24</v>
      </c>
      <c r="H249" t="b">
        <v>1</v>
      </c>
      <c r="I249">
        <v>0</v>
      </c>
    </row>
    <row r="250" spans="1:9">
      <c r="A250" t="s">
        <v>100</v>
      </c>
      <c r="B250" t="s">
        <v>533</v>
      </c>
      <c r="C250">
        <v>2</v>
      </c>
      <c r="D250">
        <v>4</v>
      </c>
      <c r="E250" s="30">
        <v>46130.724881388887</v>
      </c>
      <c r="F250" t="s">
        <v>513</v>
      </c>
      <c r="G250" t="s">
        <v>24</v>
      </c>
      <c r="H250" t="b">
        <v>1</v>
      </c>
      <c r="I250">
        <v>0</v>
      </c>
    </row>
    <row r="251" spans="1:9">
      <c r="A251" t="s">
        <v>102</v>
      </c>
      <c r="B251" t="s">
        <v>534</v>
      </c>
      <c r="C251">
        <v>2</v>
      </c>
      <c r="D251">
        <v>5</v>
      </c>
      <c r="E251" s="30">
        <v>46130.724881388887</v>
      </c>
      <c r="F251" t="s">
        <v>513</v>
      </c>
      <c r="G251" t="s">
        <v>24</v>
      </c>
      <c r="H251" t="b">
        <v>1</v>
      </c>
      <c r="I251">
        <v>0</v>
      </c>
    </row>
    <row r="252" spans="1:9">
      <c r="A252" t="s">
        <v>104</v>
      </c>
      <c r="B252" t="s">
        <v>535</v>
      </c>
      <c r="C252">
        <v>2</v>
      </c>
      <c r="D252">
        <v>5</v>
      </c>
      <c r="E252" s="30">
        <v>46130.724881388887</v>
      </c>
      <c r="F252" t="s">
        <v>513</v>
      </c>
      <c r="G252" t="s">
        <v>24</v>
      </c>
      <c r="H252" t="b">
        <v>1</v>
      </c>
      <c r="I252">
        <v>0</v>
      </c>
    </row>
    <row r="253" spans="1:9">
      <c r="A253" t="s">
        <v>108</v>
      </c>
      <c r="B253" t="s">
        <v>536</v>
      </c>
      <c r="C253">
        <v>2</v>
      </c>
      <c r="D253">
        <v>3</v>
      </c>
      <c r="E253" s="30">
        <v>46130.724881388887</v>
      </c>
      <c r="F253" t="s">
        <v>513</v>
      </c>
      <c r="G253" t="s">
        <v>24</v>
      </c>
      <c r="H253" t="b">
        <v>0</v>
      </c>
      <c r="I253">
        <v>0</v>
      </c>
    </row>
    <row r="254" spans="1:9">
      <c r="A254" t="s">
        <v>110</v>
      </c>
      <c r="B254" t="s">
        <v>537</v>
      </c>
      <c r="C254">
        <v>2</v>
      </c>
      <c r="D254">
        <v>8</v>
      </c>
      <c r="E254" s="30">
        <v>46130.724881388887</v>
      </c>
      <c r="F254" t="s">
        <v>513</v>
      </c>
      <c r="G254" t="s">
        <v>24</v>
      </c>
      <c r="H254" t="b">
        <v>0</v>
      </c>
      <c r="I254">
        <v>0</v>
      </c>
    </row>
    <row r="255" spans="1:9">
      <c r="A255" t="s">
        <v>114</v>
      </c>
      <c r="B255" t="s">
        <v>538</v>
      </c>
      <c r="C255">
        <v>2</v>
      </c>
      <c r="D255">
        <v>10</v>
      </c>
      <c r="E255" s="30">
        <v>46130.724881388887</v>
      </c>
      <c r="F255" t="s">
        <v>513</v>
      </c>
      <c r="G255" t="s">
        <v>24</v>
      </c>
      <c r="H255" t="b">
        <v>0</v>
      </c>
      <c r="I255">
        <v>0</v>
      </c>
    </row>
    <row r="256" spans="1:9">
      <c r="A256" t="s">
        <v>118</v>
      </c>
      <c r="B256" t="s">
        <v>539</v>
      </c>
      <c r="C256">
        <v>2</v>
      </c>
      <c r="D256">
        <v>3</v>
      </c>
      <c r="E256" s="30">
        <v>46130.724881388887</v>
      </c>
      <c r="F256" t="s">
        <v>513</v>
      </c>
      <c r="G256" t="s">
        <v>25</v>
      </c>
      <c r="H256" t="b">
        <v>0</v>
      </c>
      <c r="I256">
        <v>1</v>
      </c>
    </row>
    <row r="257" spans="1:9">
      <c r="A257" t="s">
        <v>120</v>
      </c>
      <c r="B257" t="s">
        <v>540</v>
      </c>
      <c r="C257">
        <v>2</v>
      </c>
      <c r="D257">
        <v>2</v>
      </c>
      <c r="E257" s="30">
        <v>46130.724881388887</v>
      </c>
      <c r="F257" t="s">
        <v>513</v>
      </c>
      <c r="G257" t="s">
        <v>25</v>
      </c>
      <c r="H257" t="b">
        <v>0</v>
      </c>
      <c r="I257">
        <v>1</v>
      </c>
    </row>
    <row r="258" spans="1:9">
      <c r="A258" t="s">
        <v>122</v>
      </c>
      <c r="B258" t="s">
        <v>541</v>
      </c>
      <c r="C258">
        <v>2</v>
      </c>
      <c r="D258">
        <v>1</v>
      </c>
      <c r="E258" s="30">
        <v>46130.724881388887</v>
      </c>
      <c r="F258" t="s">
        <v>513</v>
      </c>
      <c r="G258" t="s">
        <v>25</v>
      </c>
      <c r="H258" t="b">
        <v>1</v>
      </c>
      <c r="I258">
        <v>1</v>
      </c>
    </row>
    <row r="259" spans="1:9">
      <c r="A259" t="s">
        <v>123</v>
      </c>
      <c r="B259" t="s">
        <v>542</v>
      </c>
      <c r="C259">
        <v>2</v>
      </c>
      <c r="D259">
        <v>4</v>
      </c>
      <c r="E259" s="30">
        <v>46130.724881388887</v>
      </c>
      <c r="F259" t="s">
        <v>513</v>
      </c>
      <c r="G259" t="s">
        <v>25</v>
      </c>
      <c r="H259" t="b">
        <v>1</v>
      </c>
      <c r="I259">
        <v>1</v>
      </c>
    </row>
    <row r="260" spans="1:9">
      <c r="A260" t="s">
        <v>125</v>
      </c>
      <c r="B260" t="s">
        <v>543</v>
      </c>
      <c r="C260">
        <v>2</v>
      </c>
      <c r="D260">
        <v>3</v>
      </c>
      <c r="E260" s="30">
        <v>46130.724881388887</v>
      </c>
      <c r="F260" t="s">
        <v>513</v>
      </c>
      <c r="G260" t="s">
        <v>25</v>
      </c>
      <c r="H260" t="b">
        <v>1</v>
      </c>
      <c r="I260">
        <v>1</v>
      </c>
    </row>
    <row r="261" spans="1:9">
      <c r="A261" t="s">
        <v>129</v>
      </c>
      <c r="B261" t="s">
        <v>544</v>
      </c>
      <c r="C261">
        <v>2</v>
      </c>
      <c r="D261">
        <v>4</v>
      </c>
      <c r="E261" s="30">
        <v>46130.724881388887</v>
      </c>
      <c r="F261" t="s">
        <v>513</v>
      </c>
      <c r="G261" t="s">
        <v>25</v>
      </c>
      <c r="H261" t="b">
        <v>0</v>
      </c>
      <c r="I261">
        <v>1</v>
      </c>
    </row>
    <row r="262" spans="1:9">
      <c r="A262" t="s">
        <v>131</v>
      </c>
      <c r="B262" t="s">
        <v>545</v>
      </c>
      <c r="C262">
        <v>2</v>
      </c>
      <c r="D262">
        <v>4</v>
      </c>
      <c r="E262" s="30">
        <v>46130.724881388887</v>
      </c>
      <c r="F262" t="s">
        <v>513</v>
      </c>
      <c r="G262" t="s">
        <v>25</v>
      </c>
      <c r="H262" t="b">
        <v>0</v>
      </c>
      <c r="I262">
        <v>1</v>
      </c>
    </row>
    <row r="263" spans="1:9">
      <c r="A263" t="s">
        <v>133</v>
      </c>
      <c r="B263" t="s">
        <v>546</v>
      </c>
      <c r="C263">
        <v>2</v>
      </c>
      <c r="D263">
        <v>4</v>
      </c>
      <c r="E263" s="30">
        <v>46130.724881388887</v>
      </c>
      <c r="F263" t="s">
        <v>513</v>
      </c>
      <c r="G263" t="s">
        <v>25</v>
      </c>
      <c r="H263" t="b">
        <v>0</v>
      </c>
      <c r="I263">
        <v>1</v>
      </c>
    </row>
    <row r="264" spans="1:9">
      <c r="A264" t="s">
        <v>135</v>
      </c>
      <c r="B264" t="s">
        <v>547</v>
      </c>
      <c r="C264">
        <v>2</v>
      </c>
      <c r="D264">
        <v>4</v>
      </c>
      <c r="E264" s="30">
        <v>46130.724881388887</v>
      </c>
      <c r="F264" t="s">
        <v>513</v>
      </c>
      <c r="G264" t="s">
        <v>25</v>
      </c>
      <c r="H264" t="b">
        <v>0</v>
      </c>
      <c r="I264">
        <v>1</v>
      </c>
    </row>
    <row r="265" spans="1:9">
      <c r="A265" t="s">
        <v>137</v>
      </c>
      <c r="B265" t="s">
        <v>548</v>
      </c>
      <c r="C265">
        <v>2</v>
      </c>
      <c r="D265">
        <v>4</v>
      </c>
      <c r="E265" s="30">
        <v>46130.724881388887</v>
      </c>
      <c r="F265" t="s">
        <v>513</v>
      </c>
      <c r="G265" t="s">
        <v>25</v>
      </c>
      <c r="H265" t="b">
        <v>0</v>
      </c>
      <c r="I265">
        <v>1</v>
      </c>
    </row>
    <row r="266" spans="1:9">
      <c r="A266" t="s">
        <v>139</v>
      </c>
      <c r="B266" t="s">
        <v>549</v>
      </c>
      <c r="C266">
        <v>2</v>
      </c>
      <c r="D266">
        <v>4</v>
      </c>
      <c r="E266" s="30">
        <v>46130.724881388887</v>
      </c>
      <c r="F266" t="s">
        <v>513</v>
      </c>
      <c r="G266" t="s">
        <v>25</v>
      </c>
      <c r="H266" t="b">
        <v>0</v>
      </c>
      <c r="I266">
        <v>1</v>
      </c>
    </row>
    <row r="267" spans="1:9">
      <c r="A267" t="s">
        <v>141</v>
      </c>
      <c r="B267" t="s">
        <v>550</v>
      </c>
      <c r="C267">
        <v>2</v>
      </c>
      <c r="D267">
        <v>4</v>
      </c>
      <c r="E267" s="30">
        <v>46130.724881388887</v>
      </c>
      <c r="F267" t="s">
        <v>513</v>
      </c>
      <c r="G267" t="s">
        <v>25</v>
      </c>
      <c r="H267" t="b">
        <v>0</v>
      </c>
      <c r="I267">
        <v>1</v>
      </c>
    </row>
    <row r="268" spans="1:9">
      <c r="A268" t="s">
        <v>143</v>
      </c>
      <c r="B268" t="s">
        <v>551</v>
      </c>
      <c r="C268">
        <v>2</v>
      </c>
      <c r="D268">
        <v>4</v>
      </c>
      <c r="E268" s="30">
        <v>46130.724881388887</v>
      </c>
      <c r="F268" t="s">
        <v>513</v>
      </c>
      <c r="G268" t="s">
        <v>25</v>
      </c>
      <c r="H268" t="b">
        <v>0</v>
      </c>
      <c r="I268">
        <v>1</v>
      </c>
    </row>
    <row r="269" spans="1:9">
      <c r="A269" t="s">
        <v>145</v>
      </c>
      <c r="B269" t="s">
        <v>552</v>
      </c>
      <c r="C269">
        <v>2</v>
      </c>
      <c r="D269">
        <v>4</v>
      </c>
      <c r="E269" s="30">
        <v>46130.724881388887</v>
      </c>
      <c r="F269" t="s">
        <v>513</v>
      </c>
      <c r="G269" t="s">
        <v>25</v>
      </c>
      <c r="H269" t="b">
        <v>0</v>
      </c>
      <c r="I269">
        <v>1</v>
      </c>
    </row>
    <row r="270" spans="1:9">
      <c r="A270" t="s">
        <v>147</v>
      </c>
      <c r="B270" t="s">
        <v>553</v>
      </c>
      <c r="C270">
        <v>2</v>
      </c>
      <c r="D270">
        <v>4</v>
      </c>
      <c r="E270" s="30">
        <v>46130.724881388887</v>
      </c>
      <c r="F270" t="s">
        <v>513</v>
      </c>
      <c r="G270" t="s">
        <v>25</v>
      </c>
      <c r="H270" t="b">
        <v>0</v>
      </c>
      <c r="I270">
        <v>1</v>
      </c>
    </row>
    <row r="271" spans="1:9">
      <c r="A271" t="s">
        <v>149</v>
      </c>
      <c r="B271" t="s">
        <v>554</v>
      </c>
      <c r="C271">
        <v>2</v>
      </c>
      <c r="D271">
        <v>2</v>
      </c>
      <c r="E271" s="30">
        <v>46130.724881388887</v>
      </c>
      <c r="F271" t="s">
        <v>513</v>
      </c>
      <c r="G271" t="s">
        <v>25</v>
      </c>
      <c r="H271" t="b">
        <v>0</v>
      </c>
      <c r="I271">
        <v>1</v>
      </c>
    </row>
    <row r="272" spans="1:9">
      <c r="A272" t="s">
        <v>151</v>
      </c>
      <c r="B272" t="s">
        <v>555</v>
      </c>
      <c r="C272">
        <v>2</v>
      </c>
      <c r="D272">
        <v>4</v>
      </c>
      <c r="E272" s="30">
        <v>46130.724881388887</v>
      </c>
      <c r="F272" t="s">
        <v>513</v>
      </c>
      <c r="G272" t="s">
        <v>25</v>
      </c>
      <c r="H272" t="b">
        <v>0</v>
      </c>
      <c r="I272">
        <v>1</v>
      </c>
    </row>
    <row r="273" spans="1:9">
      <c r="A273" t="s">
        <v>153</v>
      </c>
      <c r="B273" t="s">
        <v>556</v>
      </c>
      <c r="C273">
        <v>2</v>
      </c>
      <c r="D273">
        <v>4</v>
      </c>
      <c r="E273" s="30">
        <v>46130.724881388887</v>
      </c>
      <c r="F273" t="s">
        <v>513</v>
      </c>
      <c r="G273" t="s">
        <v>25</v>
      </c>
      <c r="H273" t="b">
        <v>0</v>
      </c>
      <c r="I273">
        <v>1</v>
      </c>
    </row>
    <row r="274" spans="1:9">
      <c r="A274" t="s">
        <v>155</v>
      </c>
      <c r="B274" t="s">
        <v>557</v>
      </c>
      <c r="C274">
        <v>2</v>
      </c>
      <c r="D274">
        <v>4</v>
      </c>
      <c r="E274" s="30">
        <v>46130.724881388887</v>
      </c>
      <c r="F274" t="s">
        <v>513</v>
      </c>
      <c r="G274" t="s">
        <v>25</v>
      </c>
      <c r="H274" t="b">
        <v>0</v>
      </c>
      <c r="I274">
        <v>1</v>
      </c>
    </row>
    <row r="275" spans="1:9">
      <c r="A275" t="s">
        <v>157</v>
      </c>
      <c r="B275" t="s">
        <v>558</v>
      </c>
      <c r="C275">
        <v>2</v>
      </c>
      <c r="D275">
        <v>4</v>
      </c>
      <c r="E275" s="30">
        <v>46130.724881388887</v>
      </c>
      <c r="F275" t="s">
        <v>513</v>
      </c>
      <c r="G275" t="s">
        <v>25</v>
      </c>
      <c r="H275" t="b">
        <v>0</v>
      </c>
      <c r="I275">
        <v>1</v>
      </c>
    </row>
    <row r="276" spans="1:9">
      <c r="A276" t="s">
        <v>159</v>
      </c>
      <c r="B276" t="s">
        <v>559</v>
      </c>
      <c r="C276">
        <v>2</v>
      </c>
      <c r="D276">
        <v>4</v>
      </c>
      <c r="E276" s="30">
        <v>46130.724881388887</v>
      </c>
      <c r="F276" t="s">
        <v>513</v>
      </c>
      <c r="G276" t="s">
        <v>25</v>
      </c>
      <c r="H276" t="b">
        <v>0</v>
      </c>
      <c r="I276">
        <v>1</v>
      </c>
    </row>
    <row r="277" spans="1:9">
      <c r="A277" t="s">
        <v>161</v>
      </c>
      <c r="B277" t="s">
        <v>560</v>
      </c>
      <c r="C277">
        <v>2</v>
      </c>
      <c r="D277">
        <v>4</v>
      </c>
      <c r="E277" s="30">
        <v>46130.724881388887</v>
      </c>
      <c r="F277" t="s">
        <v>513</v>
      </c>
      <c r="G277" t="s">
        <v>25</v>
      </c>
      <c r="H277" t="b">
        <v>0</v>
      </c>
      <c r="I277">
        <v>1</v>
      </c>
    </row>
    <row r="278" spans="1:9">
      <c r="A278" t="s">
        <v>163</v>
      </c>
      <c r="B278" t="s">
        <v>561</v>
      </c>
      <c r="C278">
        <v>2</v>
      </c>
      <c r="D278">
        <v>2</v>
      </c>
      <c r="E278" s="30">
        <v>46130.724881388887</v>
      </c>
      <c r="F278" t="s">
        <v>513</v>
      </c>
      <c r="G278" t="s">
        <v>25</v>
      </c>
      <c r="H278" t="b">
        <v>0</v>
      </c>
      <c r="I278">
        <v>1</v>
      </c>
    </row>
    <row r="279" spans="1:9">
      <c r="A279" t="s">
        <v>246</v>
      </c>
      <c r="B279" t="s">
        <v>562</v>
      </c>
      <c r="C279">
        <v>2</v>
      </c>
      <c r="D279">
        <v>3</v>
      </c>
      <c r="E279" s="30">
        <v>46130.724881388887</v>
      </c>
      <c r="F279" t="s">
        <v>513</v>
      </c>
      <c r="G279" t="s">
        <v>28</v>
      </c>
      <c r="H279" t="b">
        <v>0</v>
      </c>
      <c r="I279">
        <v>4</v>
      </c>
    </row>
    <row r="280" spans="1:9">
      <c r="A280" t="s">
        <v>247</v>
      </c>
      <c r="B280" t="s">
        <v>563</v>
      </c>
      <c r="C280">
        <v>2</v>
      </c>
      <c r="D280">
        <v>4</v>
      </c>
      <c r="E280" s="30">
        <v>46130.724881388887</v>
      </c>
      <c r="F280" t="s">
        <v>513</v>
      </c>
      <c r="G280" t="s">
        <v>28</v>
      </c>
      <c r="H280" t="b">
        <v>0</v>
      </c>
      <c r="I280">
        <v>4</v>
      </c>
    </row>
    <row r="281" spans="1:9">
      <c r="A281" t="s">
        <v>248</v>
      </c>
      <c r="B281" t="s">
        <v>564</v>
      </c>
      <c r="C281">
        <v>2</v>
      </c>
      <c r="D281">
        <v>4</v>
      </c>
      <c r="E281" s="30">
        <v>46130.724881388887</v>
      </c>
      <c r="F281" t="s">
        <v>513</v>
      </c>
      <c r="G281" t="s">
        <v>28</v>
      </c>
      <c r="H281" t="b">
        <v>0</v>
      </c>
      <c r="I281">
        <v>4</v>
      </c>
    </row>
    <row r="282" spans="1:9">
      <c r="A282" t="s">
        <v>249</v>
      </c>
      <c r="B282" t="s">
        <v>565</v>
      </c>
      <c r="C282">
        <v>2</v>
      </c>
      <c r="D282">
        <v>2</v>
      </c>
      <c r="E282" s="30">
        <v>46130.724881388887</v>
      </c>
      <c r="F282" t="s">
        <v>513</v>
      </c>
      <c r="G282" t="s">
        <v>28</v>
      </c>
      <c r="H282" t="b">
        <v>0</v>
      </c>
      <c r="I282">
        <v>4</v>
      </c>
    </row>
    <row r="283" spans="1:9">
      <c r="A283" t="s">
        <v>250</v>
      </c>
      <c r="B283" t="s">
        <v>566</v>
      </c>
      <c r="C283">
        <v>2</v>
      </c>
      <c r="D283">
        <v>3</v>
      </c>
      <c r="E283" s="30">
        <v>46130.724881388887</v>
      </c>
      <c r="F283" t="s">
        <v>513</v>
      </c>
      <c r="G283" t="s">
        <v>28</v>
      </c>
      <c r="H283" t="b">
        <v>1</v>
      </c>
      <c r="I283">
        <v>4</v>
      </c>
    </row>
    <row r="284" spans="1:9">
      <c r="A284" t="s">
        <v>251</v>
      </c>
      <c r="B284" t="s">
        <v>567</v>
      </c>
      <c r="C284">
        <v>2</v>
      </c>
      <c r="D284">
        <v>4</v>
      </c>
      <c r="E284" s="30">
        <v>46130.724881388887</v>
      </c>
      <c r="F284" t="s">
        <v>513</v>
      </c>
      <c r="G284" t="s">
        <v>28</v>
      </c>
      <c r="H284" t="b">
        <v>1</v>
      </c>
      <c r="I284">
        <v>4</v>
      </c>
    </row>
    <row r="285" spans="1:9">
      <c r="A285" t="s">
        <v>252</v>
      </c>
      <c r="B285" t="s">
        <v>568</v>
      </c>
      <c r="C285">
        <v>2</v>
      </c>
      <c r="D285">
        <v>4</v>
      </c>
      <c r="E285" s="30">
        <v>46130.724881388887</v>
      </c>
      <c r="F285" t="s">
        <v>513</v>
      </c>
      <c r="G285" t="s">
        <v>28</v>
      </c>
      <c r="H285" t="b">
        <v>1</v>
      </c>
      <c r="I285">
        <v>4</v>
      </c>
    </row>
    <row r="286" spans="1:9">
      <c r="A286" t="s">
        <v>253</v>
      </c>
      <c r="B286" t="s">
        <v>569</v>
      </c>
      <c r="C286">
        <v>2</v>
      </c>
      <c r="D286">
        <v>3</v>
      </c>
      <c r="E286" s="30">
        <v>46130.724881388887</v>
      </c>
      <c r="F286" t="s">
        <v>513</v>
      </c>
      <c r="G286" t="s">
        <v>28</v>
      </c>
      <c r="H286" t="b">
        <v>1</v>
      </c>
      <c r="I286">
        <v>4</v>
      </c>
    </row>
    <row r="287" spans="1:9">
      <c r="A287" t="s">
        <v>255</v>
      </c>
      <c r="B287" t="s">
        <v>570</v>
      </c>
      <c r="C287">
        <v>2</v>
      </c>
      <c r="D287">
        <v>5</v>
      </c>
      <c r="E287" s="30">
        <v>46130.724881388887</v>
      </c>
      <c r="F287" t="s">
        <v>513</v>
      </c>
      <c r="G287" t="s">
        <v>28</v>
      </c>
      <c r="H287" t="b">
        <v>0</v>
      </c>
      <c r="I287">
        <v>4</v>
      </c>
    </row>
    <row r="288" spans="1:9">
      <c r="A288" t="s">
        <v>257</v>
      </c>
      <c r="B288" t="s">
        <v>571</v>
      </c>
      <c r="C288">
        <v>2</v>
      </c>
      <c r="D288">
        <v>5</v>
      </c>
      <c r="E288" s="30">
        <v>46130.724881388887</v>
      </c>
      <c r="F288" t="s">
        <v>513</v>
      </c>
      <c r="G288" t="s">
        <v>28</v>
      </c>
      <c r="H288" t="b">
        <v>0</v>
      </c>
      <c r="I288">
        <v>4</v>
      </c>
    </row>
    <row r="289" spans="1:9">
      <c r="A289" t="s">
        <v>259</v>
      </c>
      <c r="B289" t="s">
        <v>572</v>
      </c>
      <c r="C289">
        <v>2</v>
      </c>
      <c r="D289">
        <v>5</v>
      </c>
      <c r="E289" s="30">
        <v>46130.724881388887</v>
      </c>
      <c r="F289" t="s">
        <v>513</v>
      </c>
      <c r="G289" t="s">
        <v>28</v>
      </c>
      <c r="H289" t="b">
        <v>0</v>
      </c>
      <c r="I289">
        <v>4</v>
      </c>
    </row>
    <row r="290" spans="1:9">
      <c r="A290" t="s">
        <v>260</v>
      </c>
      <c r="B290" t="s">
        <v>573</v>
      </c>
      <c r="C290">
        <v>2</v>
      </c>
      <c r="D290">
        <v>0</v>
      </c>
      <c r="E290" s="30">
        <v>46130.724881388887</v>
      </c>
      <c r="F290" t="s">
        <v>513</v>
      </c>
      <c r="G290" t="s">
        <v>28</v>
      </c>
      <c r="H290" t="b">
        <v>0</v>
      </c>
      <c r="I290">
        <v>4</v>
      </c>
    </row>
    <row r="291" spans="1:9">
      <c r="A291" t="s">
        <v>262</v>
      </c>
      <c r="B291" t="s">
        <v>574</v>
      </c>
      <c r="C291">
        <v>2</v>
      </c>
      <c r="D291">
        <v>5</v>
      </c>
      <c r="E291" s="30">
        <v>46130.724881388887</v>
      </c>
      <c r="F291" t="s">
        <v>513</v>
      </c>
      <c r="G291" t="s">
        <v>28</v>
      </c>
      <c r="H291" t="b">
        <v>0</v>
      </c>
      <c r="I291">
        <v>4</v>
      </c>
    </row>
    <row r="292" spans="1:9">
      <c r="A292" t="s">
        <v>264</v>
      </c>
      <c r="B292" t="s">
        <v>575</v>
      </c>
      <c r="C292">
        <v>2</v>
      </c>
      <c r="D292">
        <v>4</v>
      </c>
      <c r="E292" s="30">
        <v>46130.724881388887</v>
      </c>
      <c r="F292" t="s">
        <v>513</v>
      </c>
      <c r="G292" t="s">
        <v>28</v>
      </c>
      <c r="H292" t="b">
        <v>0</v>
      </c>
      <c r="I292">
        <v>4</v>
      </c>
    </row>
    <row r="293" spans="1:9">
      <c r="A293" t="s">
        <v>266</v>
      </c>
      <c r="B293" t="s">
        <v>576</v>
      </c>
      <c r="C293">
        <v>2</v>
      </c>
      <c r="D293">
        <v>5</v>
      </c>
      <c r="E293" s="30">
        <v>46130.724881388887</v>
      </c>
      <c r="F293" t="s">
        <v>513</v>
      </c>
      <c r="G293" t="s">
        <v>28</v>
      </c>
      <c r="H293" t="b">
        <v>0</v>
      </c>
      <c r="I293">
        <v>4</v>
      </c>
    </row>
    <row r="294" spans="1:9">
      <c r="A294" t="s">
        <v>267</v>
      </c>
      <c r="B294" t="s">
        <v>577</v>
      </c>
      <c r="C294">
        <v>2</v>
      </c>
      <c r="D294">
        <v>3</v>
      </c>
      <c r="E294" s="30">
        <v>46130.724881388887</v>
      </c>
      <c r="F294" t="s">
        <v>513</v>
      </c>
      <c r="G294" t="s">
        <v>28</v>
      </c>
      <c r="H294" t="b">
        <v>0</v>
      </c>
      <c r="I294">
        <v>4</v>
      </c>
    </row>
    <row r="295" spans="1:9">
      <c r="A295" t="s">
        <v>269</v>
      </c>
      <c r="B295" t="s">
        <v>578</v>
      </c>
      <c r="C295">
        <v>2</v>
      </c>
      <c r="D295">
        <v>3</v>
      </c>
      <c r="E295" s="30">
        <v>46130.724881388887</v>
      </c>
      <c r="F295" t="s">
        <v>513</v>
      </c>
      <c r="G295" t="s">
        <v>28</v>
      </c>
      <c r="H295" t="b">
        <v>0</v>
      </c>
      <c r="I295">
        <v>4</v>
      </c>
    </row>
    <row r="296" spans="1:9">
      <c r="A296" t="s">
        <v>270</v>
      </c>
      <c r="B296" t="s">
        <v>579</v>
      </c>
      <c r="C296">
        <v>2</v>
      </c>
      <c r="D296">
        <v>5</v>
      </c>
      <c r="E296" s="30">
        <v>46130.724881388887</v>
      </c>
      <c r="F296" t="s">
        <v>513</v>
      </c>
      <c r="G296" t="s">
        <v>28</v>
      </c>
      <c r="H296" t="b">
        <v>0</v>
      </c>
      <c r="I296">
        <v>4</v>
      </c>
    </row>
    <row r="297" spans="1:9">
      <c r="A297" t="s">
        <v>272</v>
      </c>
      <c r="B297" t="s">
        <v>580</v>
      </c>
      <c r="C297">
        <v>2</v>
      </c>
      <c r="D297">
        <v>1</v>
      </c>
      <c r="E297" s="30">
        <v>46130.724881388887</v>
      </c>
      <c r="F297" t="s">
        <v>513</v>
      </c>
      <c r="G297" t="s">
        <v>28</v>
      </c>
      <c r="H297" t="b">
        <v>0</v>
      </c>
      <c r="I297">
        <v>4</v>
      </c>
    </row>
    <row r="298" spans="1:9">
      <c r="A298" t="s">
        <v>275</v>
      </c>
      <c r="B298" t="s">
        <v>581</v>
      </c>
      <c r="C298">
        <v>2</v>
      </c>
      <c r="D298">
        <v>5</v>
      </c>
      <c r="E298" s="30">
        <v>46130.724881388887</v>
      </c>
      <c r="F298" t="s">
        <v>513</v>
      </c>
      <c r="G298" t="s">
        <v>28</v>
      </c>
      <c r="H298" t="b">
        <v>1</v>
      </c>
      <c r="I298">
        <v>4</v>
      </c>
    </row>
    <row r="299" spans="1:9">
      <c r="A299" t="s">
        <v>276</v>
      </c>
      <c r="B299" t="s">
        <v>582</v>
      </c>
      <c r="C299">
        <v>2</v>
      </c>
      <c r="D299">
        <v>4</v>
      </c>
      <c r="E299" s="30">
        <v>46130.724881388887</v>
      </c>
      <c r="F299" t="s">
        <v>513</v>
      </c>
      <c r="G299" t="s">
        <v>28</v>
      </c>
      <c r="H299" t="b">
        <v>1</v>
      </c>
      <c r="I299">
        <v>4</v>
      </c>
    </row>
    <row r="300" spans="1:9">
      <c r="A300" t="s">
        <v>209</v>
      </c>
      <c r="B300" t="s">
        <v>583</v>
      </c>
      <c r="C300">
        <v>2</v>
      </c>
      <c r="D300">
        <v>3</v>
      </c>
      <c r="E300" s="30">
        <v>46130.724881388887</v>
      </c>
      <c r="F300" t="s">
        <v>513</v>
      </c>
      <c r="G300" t="s">
        <v>27</v>
      </c>
      <c r="H300" t="b">
        <v>0</v>
      </c>
      <c r="I300">
        <v>3</v>
      </c>
    </row>
    <row r="301" spans="1:9">
      <c r="A301" t="s">
        <v>210</v>
      </c>
      <c r="B301" t="s">
        <v>584</v>
      </c>
      <c r="C301">
        <v>2</v>
      </c>
      <c r="D301">
        <v>5</v>
      </c>
      <c r="E301" s="30">
        <v>46130.724881388887</v>
      </c>
      <c r="F301" t="s">
        <v>513</v>
      </c>
      <c r="G301" t="s">
        <v>27</v>
      </c>
      <c r="H301" t="b">
        <v>0</v>
      </c>
      <c r="I301">
        <v>3</v>
      </c>
    </row>
    <row r="302" spans="1:9">
      <c r="A302" t="s">
        <v>211</v>
      </c>
      <c r="B302" t="s">
        <v>585</v>
      </c>
      <c r="C302">
        <v>2</v>
      </c>
      <c r="D302">
        <v>5</v>
      </c>
      <c r="E302" s="30">
        <v>46130.724881388887</v>
      </c>
      <c r="F302" t="s">
        <v>513</v>
      </c>
      <c r="G302" t="s">
        <v>27</v>
      </c>
      <c r="H302" t="b">
        <v>0</v>
      </c>
      <c r="I302">
        <v>3</v>
      </c>
    </row>
    <row r="303" spans="1:9">
      <c r="A303" t="s">
        <v>212</v>
      </c>
      <c r="B303" t="s">
        <v>586</v>
      </c>
      <c r="C303">
        <v>2</v>
      </c>
      <c r="D303">
        <v>5</v>
      </c>
      <c r="E303" s="30">
        <v>46130.724881388887</v>
      </c>
      <c r="F303" t="s">
        <v>513</v>
      </c>
      <c r="G303" t="s">
        <v>27</v>
      </c>
      <c r="H303" t="b">
        <v>0</v>
      </c>
      <c r="I303">
        <v>3</v>
      </c>
    </row>
    <row r="304" spans="1:9">
      <c r="A304" t="s">
        <v>213</v>
      </c>
      <c r="B304" t="s">
        <v>587</v>
      </c>
      <c r="C304">
        <v>2</v>
      </c>
      <c r="D304">
        <v>1</v>
      </c>
      <c r="E304" s="30">
        <v>46130.724881388887</v>
      </c>
      <c r="F304" t="s">
        <v>513</v>
      </c>
      <c r="G304" t="s">
        <v>27</v>
      </c>
      <c r="H304" t="b">
        <v>1</v>
      </c>
      <c r="I304">
        <v>3</v>
      </c>
    </row>
    <row r="305" spans="1:9">
      <c r="A305" t="s">
        <v>214</v>
      </c>
      <c r="B305" t="s">
        <v>588</v>
      </c>
      <c r="C305">
        <v>2</v>
      </c>
      <c r="D305">
        <v>4</v>
      </c>
      <c r="E305" s="30">
        <v>46130.724881388887</v>
      </c>
      <c r="F305" t="s">
        <v>513</v>
      </c>
      <c r="G305" t="s">
        <v>27</v>
      </c>
      <c r="H305" t="b">
        <v>1</v>
      </c>
      <c r="I305">
        <v>3</v>
      </c>
    </row>
    <row r="306" spans="1:9">
      <c r="A306" t="s">
        <v>215</v>
      </c>
      <c r="B306" t="s">
        <v>589</v>
      </c>
      <c r="C306">
        <v>2</v>
      </c>
      <c r="D306">
        <v>4</v>
      </c>
      <c r="E306" s="30">
        <v>46130.724881388887</v>
      </c>
      <c r="F306" t="s">
        <v>513</v>
      </c>
      <c r="G306" t="s">
        <v>27</v>
      </c>
      <c r="H306" t="b">
        <v>1</v>
      </c>
      <c r="I306">
        <v>3</v>
      </c>
    </row>
    <row r="307" spans="1:9">
      <c r="A307" t="s">
        <v>216</v>
      </c>
      <c r="B307" t="s">
        <v>590</v>
      </c>
      <c r="C307">
        <v>2</v>
      </c>
      <c r="D307">
        <v>1</v>
      </c>
      <c r="E307" s="30">
        <v>46130.724881388887</v>
      </c>
      <c r="F307" t="s">
        <v>513</v>
      </c>
      <c r="G307" t="s">
        <v>27</v>
      </c>
      <c r="H307" t="b">
        <v>1</v>
      </c>
      <c r="I307">
        <v>3</v>
      </c>
    </row>
    <row r="308" spans="1:9">
      <c r="A308" t="s">
        <v>218</v>
      </c>
      <c r="B308" t="s">
        <v>591</v>
      </c>
      <c r="C308">
        <v>2</v>
      </c>
      <c r="D308">
        <v>2</v>
      </c>
      <c r="E308" s="30">
        <v>46130.724881388887</v>
      </c>
      <c r="F308" t="s">
        <v>513</v>
      </c>
      <c r="G308" t="s">
        <v>27</v>
      </c>
      <c r="H308" t="b">
        <v>0</v>
      </c>
      <c r="I308">
        <v>3</v>
      </c>
    </row>
    <row r="309" spans="1:9">
      <c r="A309" t="s">
        <v>220</v>
      </c>
      <c r="B309" t="s">
        <v>592</v>
      </c>
      <c r="C309">
        <v>2</v>
      </c>
      <c r="D309">
        <v>1</v>
      </c>
      <c r="E309" s="30">
        <v>46130.724881388887</v>
      </c>
      <c r="F309" t="s">
        <v>513</v>
      </c>
      <c r="G309" t="s">
        <v>27</v>
      </c>
      <c r="H309" t="b">
        <v>0</v>
      </c>
      <c r="I309">
        <v>3</v>
      </c>
    </row>
    <row r="310" spans="1:9">
      <c r="A310" t="s">
        <v>222</v>
      </c>
      <c r="B310" t="s">
        <v>593</v>
      </c>
      <c r="C310">
        <v>2</v>
      </c>
      <c r="D310">
        <v>1</v>
      </c>
      <c r="E310" s="30">
        <v>46130.724881388887</v>
      </c>
      <c r="F310" t="s">
        <v>513</v>
      </c>
      <c r="G310" t="s">
        <v>27</v>
      </c>
      <c r="H310" t="b">
        <v>0</v>
      </c>
      <c r="I310">
        <v>3</v>
      </c>
    </row>
    <row r="311" spans="1:9">
      <c r="A311" t="s">
        <v>224</v>
      </c>
      <c r="B311" t="s">
        <v>594</v>
      </c>
      <c r="C311">
        <v>2</v>
      </c>
      <c r="D311">
        <v>0</v>
      </c>
      <c r="E311" s="30">
        <v>46130.724881388887</v>
      </c>
      <c r="F311" t="s">
        <v>513</v>
      </c>
      <c r="G311" t="s">
        <v>27</v>
      </c>
      <c r="H311" t="b">
        <v>0</v>
      </c>
      <c r="I311">
        <v>3</v>
      </c>
    </row>
    <row r="312" spans="1:9">
      <c r="A312" t="s">
        <v>226</v>
      </c>
      <c r="B312" t="s">
        <v>595</v>
      </c>
      <c r="C312">
        <v>2</v>
      </c>
      <c r="D312">
        <v>4</v>
      </c>
      <c r="E312" s="30">
        <v>46130.724881388887</v>
      </c>
      <c r="F312" t="s">
        <v>513</v>
      </c>
      <c r="G312" t="s">
        <v>27</v>
      </c>
      <c r="H312" t="b">
        <v>0</v>
      </c>
      <c r="I312">
        <v>3</v>
      </c>
    </row>
    <row r="313" spans="1:9">
      <c r="A313" t="s">
        <v>228</v>
      </c>
      <c r="B313" t="s">
        <v>596</v>
      </c>
      <c r="C313">
        <v>2</v>
      </c>
      <c r="D313">
        <v>4</v>
      </c>
      <c r="E313" s="30">
        <v>46130.724881388887</v>
      </c>
      <c r="F313" t="s">
        <v>513</v>
      </c>
      <c r="G313" t="s">
        <v>27</v>
      </c>
      <c r="H313" t="b">
        <v>0</v>
      </c>
      <c r="I313">
        <v>3</v>
      </c>
    </row>
    <row r="314" spans="1:9">
      <c r="A314" t="s">
        <v>230</v>
      </c>
      <c r="B314" t="s">
        <v>597</v>
      </c>
      <c r="C314">
        <v>2</v>
      </c>
      <c r="D314">
        <v>3</v>
      </c>
      <c r="E314" s="30">
        <v>46130.724881388887</v>
      </c>
      <c r="F314" t="s">
        <v>513</v>
      </c>
      <c r="G314" t="s">
        <v>27</v>
      </c>
      <c r="H314" t="b">
        <v>0</v>
      </c>
      <c r="I314">
        <v>3</v>
      </c>
    </row>
    <row r="315" spans="1:9">
      <c r="A315" t="s">
        <v>231</v>
      </c>
      <c r="B315" t="s">
        <v>598</v>
      </c>
      <c r="C315">
        <v>2</v>
      </c>
      <c r="D315">
        <v>1</v>
      </c>
      <c r="E315" s="30">
        <v>46130.724881388887</v>
      </c>
      <c r="F315" t="s">
        <v>513</v>
      </c>
      <c r="G315" t="s">
        <v>27</v>
      </c>
      <c r="H315" t="b">
        <v>0</v>
      </c>
      <c r="I315">
        <v>3</v>
      </c>
    </row>
    <row r="316" spans="1:9">
      <c r="A316" t="s">
        <v>233</v>
      </c>
      <c r="B316" t="s">
        <v>599</v>
      </c>
      <c r="C316">
        <v>2</v>
      </c>
      <c r="D316">
        <v>4</v>
      </c>
      <c r="E316" s="30">
        <v>46130.724881388887</v>
      </c>
      <c r="F316" t="s">
        <v>513</v>
      </c>
      <c r="G316" t="s">
        <v>27</v>
      </c>
      <c r="H316" t="b">
        <v>0</v>
      </c>
      <c r="I316">
        <v>3</v>
      </c>
    </row>
    <row r="317" spans="1:9">
      <c r="A317" t="s">
        <v>235</v>
      </c>
      <c r="B317" t="s">
        <v>600</v>
      </c>
      <c r="C317">
        <v>2</v>
      </c>
      <c r="D317">
        <v>0</v>
      </c>
      <c r="E317" s="30">
        <v>46130.724881388887</v>
      </c>
      <c r="F317" t="s">
        <v>513</v>
      </c>
      <c r="G317" t="s">
        <v>27</v>
      </c>
      <c r="H317" t="b">
        <v>0</v>
      </c>
      <c r="I317">
        <v>3</v>
      </c>
    </row>
    <row r="318" spans="1:9">
      <c r="A318" t="s">
        <v>237</v>
      </c>
      <c r="B318" t="s">
        <v>601</v>
      </c>
      <c r="C318">
        <v>2</v>
      </c>
      <c r="D318">
        <v>4</v>
      </c>
      <c r="E318" s="30">
        <v>46130.724881388887</v>
      </c>
      <c r="F318" t="s">
        <v>513</v>
      </c>
      <c r="G318" t="s">
        <v>27</v>
      </c>
      <c r="H318" t="b">
        <v>0</v>
      </c>
      <c r="I318">
        <v>3</v>
      </c>
    </row>
    <row r="319" spans="1:9">
      <c r="A319" t="s">
        <v>239</v>
      </c>
      <c r="B319" t="s">
        <v>602</v>
      </c>
      <c r="C319">
        <v>2</v>
      </c>
      <c r="D319">
        <v>8</v>
      </c>
      <c r="E319" s="30">
        <v>46130.724881388887</v>
      </c>
      <c r="F319" t="s">
        <v>513</v>
      </c>
      <c r="G319" t="s">
        <v>27</v>
      </c>
      <c r="H319" t="b">
        <v>0</v>
      </c>
      <c r="I319">
        <v>3</v>
      </c>
    </row>
    <row r="320" spans="1:9">
      <c r="A320" t="s">
        <v>241</v>
      </c>
      <c r="B320" t="s">
        <v>603</v>
      </c>
      <c r="C320">
        <v>2</v>
      </c>
      <c r="D320">
        <v>4</v>
      </c>
      <c r="E320" s="30">
        <v>46130.724881388887</v>
      </c>
      <c r="F320" t="s">
        <v>513</v>
      </c>
      <c r="G320" t="s">
        <v>27</v>
      </c>
      <c r="H320" t="b">
        <v>0</v>
      </c>
      <c r="I320">
        <v>3</v>
      </c>
    </row>
    <row r="321" spans="1:9">
      <c r="A321" t="s">
        <v>243</v>
      </c>
      <c r="B321" t="s">
        <v>604</v>
      </c>
      <c r="C321">
        <v>2</v>
      </c>
      <c r="D321">
        <v>5</v>
      </c>
      <c r="E321" s="30">
        <v>46130.724881388887</v>
      </c>
      <c r="F321" t="s">
        <v>513</v>
      </c>
      <c r="G321" t="s">
        <v>27</v>
      </c>
      <c r="H321" t="b">
        <v>1</v>
      </c>
      <c r="I321">
        <v>3</v>
      </c>
    </row>
    <row r="322" spans="1:9">
      <c r="A322" t="s">
        <v>244</v>
      </c>
      <c r="B322" t="s">
        <v>605</v>
      </c>
      <c r="C322">
        <v>2</v>
      </c>
      <c r="D322">
        <v>2</v>
      </c>
      <c r="E322" s="30">
        <v>46130.724881388887</v>
      </c>
      <c r="F322" t="s">
        <v>513</v>
      </c>
      <c r="G322" t="s">
        <v>27</v>
      </c>
      <c r="H322" t="b">
        <v>1</v>
      </c>
      <c r="I322">
        <v>3</v>
      </c>
    </row>
    <row r="323" spans="1:9">
      <c r="A323" t="s">
        <v>166</v>
      </c>
      <c r="B323" t="s">
        <v>606</v>
      </c>
      <c r="C323">
        <v>2</v>
      </c>
      <c r="D323">
        <v>1</v>
      </c>
      <c r="E323" s="30">
        <v>46130.724881388887</v>
      </c>
      <c r="F323" t="s">
        <v>513</v>
      </c>
      <c r="G323" t="s">
        <v>26</v>
      </c>
      <c r="H323" t="b">
        <v>0</v>
      </c>
      <c r="I323">
        <v>2</v>
      </c>
    </row>
    <row r="324" spans="1:9">
      <c r="A324" t="s">
        <v>168</v>
      </c>
      <c r="B324" t="s">
        <v>607</v>
      </c>
      <c r="C324">
        <v>2</v>
      </c>
      <c r="D324">
        <v>2</v>
      </c>
      <c r="E324" s="30">
        <v>46130.724881388887</v>
      </c>
      <c r="F324" t="s">
        <v>513</v>
      </c>
      <c r="G324" t="s">
        <v>26</v>
      </c>
      <c r="H324" t="b">
        <v>0</v>
      </c>
      <c r="I324">
        <v>2</v>
      </c>
    </row>
    <row r="325" spans="1:9">
      <c r="A325" t="s">
        <v>170</v>
      </c>
      <c r="B325" t="s">
        <v>608</v>
      </c>
      <c r="C325">
        <v>2</v>
      </c>
      <c r="D325">
        <v>1</v>
      </c>
      <c r="E325" s="30">
        <v>46130.724881388887</v>
      </c>
      <c r="F325" t="s">
        <v>513</v>
      </c>
      <c r="G325" t="s">
        <v>26</v>
      </c>
      <c r="H325" t="b">
        <v>0</v>
      </c>
      <c r="I325">
        <v>2</v>
      </c>
    </row>
    <row r="326" spans="1:9">
      <c r="A326" t="s">
        <v>172</v>
      </c>
      <c r="B326" t="s">
        <v>609</v>
      </c>
      <c r="C326">
        <v>2</v>
      </c>
      <c r="D326">
        <v>2</v>
      </c>
      <c r="E326" s="30">
        <v>46130.724881388887</v>
      </c>
      <c r="F326" t="s">
        <v>513</v>
      </c>
      <c r="G326" t="s">
        <v>26</v>
      </c>
      <c r="H326" t="b">
        <v>0</v>
      </c>
      <c r="I326">
        <v>2</v>
      </c>
    </row>
    <row r="327" spans="1:9">
      <c r="A327" t="s">
        <v>173</v>
      </c>
      <c r="B327" t="s">
        <v>610</v>
      </c>
      <c r="C327">
        <v>2</v>
      </c>
      <c r="D327">
        <v>1</v>
      </c>
      <c r="E327" s="30">
        <v>46130.724881388887</v>
      </c>
      <c r="F327" t="s">
        <v>513</v>
      </c>
      <c r="G327" t="s">
        <v>26</v>
      </c>
      <c r="H327" t="b">
        <v>1</v>
      </c>
      <c r="I327">
        <v>2</v>
      </c>
    </row>
    <row r="328" spans="1:9">
      <c r="A328" t="s">
        <v>174</v>
      </c>
      <c r="B328" t="s">
        <v>611</v>
      </c>
      <c r="C328">
        <v>2</v>
      </c>
      <c r="D328">
        <v>2</v>
      </c>
      <c r="E328" s="30">
        <v>46130.724881388887</v>
      </c>
      <c r="F328" t="s">
        <v>513</v>
      </c>
      <c r="G328" t="s">
        <v>26</v>
      </c>
      <c r="H328" t="b">
        <v>1</v>
      </c>
      <c r="I328">
        <v>2</v>
      </c>
    </row>
    <row r="329" spans="1:9">
      <c r="A329" t="s">
        <v>175</v>
      </c>
      <c r="B329" t="s">
        <v>612</v>
      </c>
      <c r="C329">
        <v>2</v>
      </c>
      <c r="D329">
        <v>4</v>
      </c>
      <c r="E329" s="30">
        <v>46130.724881388887</v>
      </c>
      <c r="F329" t="s">
        <v>513</v>
      </c>
      <c r="G329" t="s">
        <v>26</v>
      </c>
      <c r="H329" t="b">
        <v>1</v>
      </c>
      <c r="I329">
        <v>2</v>
      </c>
    </row>
    <row r="330" spans="1:9">
      <c r="A330" t="s">
        <v>177</v>
      </c>
      <c r="B330" t="s">
        <v>613</v>
      </c>
      <c r="C330">
        <v>2</v>
      </c>
      <c r="D330">
        <v>1</v>
      </c>
      <c r="E330" s="30">
        <v>46130.724881388887</v>
      </c>
      <c r="F330" t="s">
        <v>513</v>
      </c>
      <c r="G330" t="s">
        <v>26</v>
      </c>
      <c r="H330" t="b">
        <v>1</v>
      </c>
      <c r="I330">
        <v>2</v>
      </c>
    </row>
    <row r="331" spans="1:9">
      <c r="A331" t="s">
        <v>180</v>
      </c>
      <c r="B331" t="s">
        <v>614</v>
      </c>
      <c r="C331">
        <v>2</v>
      </c>
      <c r="D331">
        <v>1</v>
      </c>
      <c r="E331" s="30">
        <v>46130.724881388887</v>
      </c>
      <c r="F331" t="s">
        <v>513</v>
      </c>
      <c r="G331" t="s">
        <v>26</v>
      </c>
      <c r="H331" t="b">
        <v>0</v>
      </c>
      <c r="I331">
        <v>2</v>
      </c>
    </row>
    <row r="332" spans="1:9">
      <c r="A332" t="s">
        <v>182</v>
      </c>
      <c r="B332" t="s">
        <v>615</v>
      </c>
      <c r="C332">
        <v>2</v>
      </c>
      <c r="D332">
        <v>2</v>
      </c>
      <c r="E332" s="30">
        <v>46130.724881388887</v>
      </c>
      <c r="F332" t="s">
        <v>513</v>
      </c>
      <c r="G332" t="s">
        <v>26</v>
      </c>
      <c r="H332" t="b">
        <v>0</v>
      </c>
      <c r="I332">
        <v>2</v>
      </c>
    </row>
    <row r="333" spans="1:9">
      <c r="A333" t="s">
        <v>184</v>
      </c>
      <c r="B333" t="s">
        <v>616</v>
      </c>
      <c r="C333">
        <v>2</v>
      </c>
      <c r="D333">
        <v>2</v>
      </c>
      <c r="E333" s="30">
        <v>46130.724881388887</v>
      </c>
      <c r="F333" t="s">
        <v>513</v>
      </c>
      <c r="G333" t="s">
        <v>26</v>
      </c>
      <c r="H333" t="b">
        <v>0</v>
      </c>
      <c r="I333">
        <v>2</v>
      </c>
    </row>
    <row r="334" spans="1:9">
      <c r="A334" t="s">
        <v>186</v>
      </c>
      <c r="B334" t="s">
        <v>617</v>
      </c>
      <c r="C334">
        <v>2</v>
      </c>
      <c r="D334">
        <v>4</v>
      </c>
      <c r="E334" s="30">
        <v>46130.724881388887</v>
      </c>
      <c r="F334" t="s">
        <v>513</v>
      </c>
      <c r="G334" t="s">
        <v>26</v>
      </c>
      <c r="H334" t="b">
        <v>0</v>
      </c>
      <c r="I334">
        <v>2</v>
      </c>
    </row>
    <row r="335" spans="1:9">
      <c r="A335" t="s">
        <v>188</v>
      </c>
      <c r="B335" t="s">
        <v>618</v>
      </c>
      <c r="C335">
        <v>2</v>
      </c>
      <c r="D335">
        <v>0</v>
      </c>
      <c r="E335" s="30">
        <v>46130.724881388887</v>
      </c>
      <c r="F335" t="s">
        <v>513</v>
      </c>
      <c r="G335" t="s">
        <v>26</v>
      </c>
      <c r="H335" t="b">
        <v>0</v>
      </c>
      <c r="I335">
        <v>2</v>
      </c>
    </row>
    <row r="336" spans="1:9">
      <c r="A336" t="s">
        <v>190</v>
      </c>
      <c r="B336" t="s">
        <v>619</v>
      </c>
      <c r="C336">
        <v>2</v>
      </c>
      <c r="D336">
        <v>4</v>
      </c>
      <c r="E336" s="30">
        <v>46130.724881388887</v>
      </c>
      <c r="F336" t="s">
        <v>513</v>
      </c>
      <c r="G336" t="s">
        <v>26</v>
      </c>
      <c r="H336" t="b">
        <v>0</v>
      </c>
      <c r="I336">
        <v>2</v>
      </c>
    </row>
    <row r="337" spans="1:9">
      <c r="A337" t="s">
        <v>192</v>
      </c>
      <c r="B337" t="s">
        <v>620</v>
      </c>
      <c r="C337">
        <v>2</v>
      </c>
      <c r="D337">
        <v>1</v>
      </c>
      <c r="E337" s="30">
        <v>46130.724881388887</v>
      </c>
      <c r="F337" t="s">
        <v>513</v>
      </c>
      <c r="G337" t="s">
        <v>26</v>
      </c>
      <c r="H337" t="b">
        <v>0</v>
      </c>
      <c r="I337">
        <v>2</v>
      </c>
    </row>
    <row r="338" spans="1:9">
      <c r="A338" t="s">
        <v>194</v>
      </c>
      <c r="B338" t="s">
        <v>621</v>
      </c>
      <c r="C338">
        <v>2</v>
      </c>
      <c r="D338">
        <v>4</v>
      </c>
      <c r="E338" s="30">
        <v>46130.724881388887</v>
      </c>
      <c r="F338" t="s">
        <v>513</v>
      </c>
      <c r="G338" t="s">
        <v>26</v>
      </c>
      <c r="H338" t="b">
        <v>0</v>
      </c>
      <c r="I338">
        <v>2</v>
      </c>
    </row>
    <row r="339" spans="1:9">
      <c r="A339" t="s">
        <v>196</v>
      </c>
      <c r="B339" t="s">
        <v>622</v>
      </c>
      <c r="C339">
        <v>2</v>
      </c>
      <c r="D339">
        <v>1</v>
      </c>
      <c r="E339" s="30">
        <v>46130.724881388887</v>
      </c>
      <c r="F339" t="s">
        <v>513</v>
      </c>
      <c r="G339" t="s">
        <v>26</v>
      </c>
      <c r="H339" t="b">
        <v>0</v>
      </c>
      <c r="I339">
        <v>2</v>
      </c>
    </row>
    <row r="340" spans="1:9">
      <c r="A340" t="s">
        <v>198</v>
      </c>
      <c r="B340" t="s">
        <v>623</v>
      </c>
      <c r="C340">
        <v>2</v>
      </c>
      <c r="D340">
        <v>1</v>
      </c>
      <c r="E340" s="30">
        <v>46130.724881388887</v>
      </c>
      <c r="F340" t="s">
        <v>513</v>
      </c>
      <c r="G340" t="s">
        <v>26</v>
      </c>
      <c r="H340" t="b">
        <v>0</v>
      </c>
      <c r="I340">
        <v>2</v>
      </c>
    </row>
    <row r="341" spans="1:9">
      <c r="A341" t="s">
        <v>200</v>
      </c>
      <c r="B341" t="s">
        <v>624</v>
      </c>
      <c r="C341">
        <v>2</v>
      </c>
      <c r="D341">
        <v>2</v>
      </c>
      <c r="E341" s="30">
        <v>46130.724881388887</v>
      </c>
      <c r="F341" t="s">
        <v>513</v>
      </c>
      <c r="G341" t="s">
        <v>26</v>
      </c>
      <c r="H341" t="b">
        <v>0</v>
      </c>
      <c r="I341">
        <v>2</v>
      </c>
    </row>
    <row r="342" spans="1:9">
      <c r="A342" t="s">
        <v>204</v>
      </c>
      <c r="B342" t="s">
        <v>625</v>
      </c>
      <c r="C342">
        <v>2</v>
      </c>
      <c r="D342">
        <v>8</v>
      </c>
      <c r="E342" s="30">
        <v>46130.724881388887</v>
      </c>
      <c r="F342" t="s">
        <v>513</v>
      </c>
      <c r="G342" t="s">
        <v>26</v>
      </c>
      <c r="H342" t="b">
        <v>1</v>
      </c>
      <c r="I342">
        <v>2</v>
      </c>
    </row>
    <row r="343" spans="1:9">
      <c r="A343" t="s">
        <v>206</v>
      </c>
      <c r="B343" t="s">
        <v>626</v>
      </c>
      <c r="C343">
        <v>2</v>
      </c>
      <c r="D343">
        <v>4</v>
      </c>
      <c r="E343" s="30">
        <v>46130.724881388887</v>
      </c>
      <c r="F343" t="s">
        <v>513</v>
      </c>
      <c r="G343" t="s">
        <v>26</v>
      </c>
      <c r="H343" t="b">
        <v>1</v>
      </c>
      <c r="I343">
        <v>2</v>
      </c>
    </row>
    <row r="344" spans="1:9">
      <c r="E344" s="30"/>
    </row>
    <row r="345" spans="1:9">
      <c r="E345" s="30"/>
    </row>
    <row r="346" spans="1:9">
      <c r="E346" s="30"/>
    </row>
    <row r="347" spans="1:9">
      <c r="E347" s="30"/>
    </row>
    <row r="348" spans="1:9">
      <c r="E348" s="30"/>
    </row>
    <row r="349" spans="1:9">
      <c r="E349" s="30"/>
    </row>
    <row r="350" spans="1:9">
      <c r="E350" s="30"/>
    </row>
    <row r="351" spans="1:9">
      <c r="E351" s="30"/>
    </row>
    <row r="352" spans="1:9">
      <c r="E352" s="30"/>
    </row>
    <row r="353" spans="5:5">
      <c r="E353" s="30"/>
    </row>
    <row r="354" spans="5:5">
      <c r="E354" s="30"/>
    </row>
    <row r="355" spans="5:5">
      <c r="E355" s="30"/>
    </row>
    <row r="356" spans="5:5">
      <c r="E356" s="30"/>
    </row>
    <row r="357" spans="5:5">
      <c r="E357" s="30"/>
    </row>
    <row r="358" spans="5:5">
      <c r="E358" s="30"/>
    </row>
    <row r="359" spans="5:5">
      <c r="E359" s="30"/>
    </row>
    <row r="360" spans="5:5">
      <c r="E360" s="30"/>
    </row>
    <row r="361" spans="5:5">
      <c r="E361" s="30"/>
    </row>
    <row r="362" spans="5:5">
      <c r="E362" s="30"/>
    </row>
    <row r="363" spans="5:5">
      <c r="E363" s="30"/>
    </row>
    <row r="364" spans="5:5">
      <c r="E364" s="30"/>
    </row>
    <row r="365" spans="5:5">
      <c r="E365" s="30"/>
    </row>
    <row r="366" spans="5:5">
      <c r="E366" s="30"/>
    </row>
    <row r="367" spans="5:5">
      <c r="E367" s="30"/>
    </row>
    <row r="368" spans="5:5">
      <c r="E368" s="30"/>
    </row>
    <row r="369" spans="5:5">
      <c r="E369" s="30"/>
    </row>
    <row r="370" spans="5:5">
      <c r="E370" s="30"/>
    </row>
    <row r="371" spans="5:5">
      <c r="E371" s="30"/>
    </row>
    <row r="372" spans="5:5">
      <c r="E372" s="30"/>
    </row>
    <row r="373" spans="5:5">
      <c r="E373" s="30"/>
    </row>
    <row r="374" spans="5:5">
      <c r="E374" s="30"/>
    </row>
    <row r="375" spans="5:5">
      <c r="E375" s="30"/>
    </row>
    <row r="376" spans="5:5">
      <c r="E376" s="30"/>
    </row>
    <row r="377" spans="5:5">
      <c r="E377" s="30"/>
    </row>
    <row r="378" spans="5:5">
      <c r="E378" s="30"/>
    </row>
    <row r="379" spans="5:5">
      <c r="E379" s="30"/>
    </row>
    <row r="380" spans="5:5">
      <c r="E380" s="30"/>
    </row>
    <row r="381" spans="5:5">
      <c r="E381" s="30"/>
    </row>
    <row r="382" spans="5:5">
      <c r="E382" s="30"/>
    </row>
    <row r="383" spans="5:5">
      <c r="E383" s="30"/>
    </row>
    <row r="384" spans="5:5">
      <c r="E384" s="30"/>
    </row>
    <row r="385" spans="5:5">
      <c r="E385" s="30"/>
    </row>
    <row r="386" spans="5:5">
      <c r="E386" s="30"/>
    </row>
    <row r="387" spans="5:5">
      <c r="E387" s="30"/>
    </row>
    <row r="388" spans="5:5">
      <c r="E388" s="30"/>
    </row>
    <row r="389" spans="5:5">
      <c r="E389" s="30"/>
    </row>
    <row r="390" spans="5:5">
      <c r="E390" s="30"/>
    </row>
    <row r="391" spans="5:5">
      <c r="E391" s="30"/>
    </row>
    <row r="392" spans="5:5">
      <c r="E392" s="30"/>
    </row>
    <row r="393" spans="5:5">
      <c r="E393" s="30"/>
    </row>
    <row r="394" spans="5:5">
      <c r="E394" s="30"/>
    </row>
    <row r="395" spans="5:5">
      <c r="E395" s="30"/>
    </row>
    <row r="396" spans="5:5">
      <c r="E396" s="30"/>
    </row>
    <row r="397" spans="5:5">
      <c r="E397" s="30"/>
    </row>
    <row r="398" spans="5:5">
      <c r="E398" s="30"/>
    </row>
    <row r="399" spans="5:5">
      <c r="E399" s="30"/>
    </row>
    <row r="400" spans="5:5">
      <c r="E400" s="30"/>
    </row>
    <row r="401" spans="5:5">
      <c r="E401" s="30"/>
    </row>
    <row r="402" spans="5:5">
      <c r="E402" s="30"/>
    </row>
    <row r="403" spans="5:5">
      <c r="E403" s="30"/>
    </row>
    <row r="404" spans="5:5">
      <c r="E404" s="30"/>
    </row>
    <row r="405" spans="5:5">
      <c r="E405" s="30"/>
    </row>
    <row r="406" spans="5:5">
      <c r="E406" s="30"/>
    </row>
    <row r="407" spans="5:5">
      <c r="E407" s="30"/>
    </row>
    <row r="408" spans="5:5">
      <c r="E408" s="30"/>
    </row>
    <row r="409" spans="5:5">
      <c r="E409" s="30"/>
    </row>
    <row r="410" spans="5:5">
      <c r="E410" s="30"/>
    </row>
    <row r="411" spans="5:5">
      <c r="E411" s="30"/>
    </row>
    <row r="412" spans="5:5">
      <c r="E412" s="30"/>
    </row>
    <row r="413" spans="5:5">
      <c r="E413" s="30"/>
    </row>
    <row r="414" spans="5:5">
      <c r="E414" s="30"/>
    </row>
    <row r="415" spans="5:5">
      <c r="E415" s="30"/>
    </row>
    <row r="416" spans="5:5">
      <c r="E416" s="30"/>
    </row>
    <row r="417" spans="5:5">
      <c r="E417" s="30"/>
    </row>
    <row r="418" spans="5:5">
      <c r="E418" s="30"/>
    </row>
    <row r="419" spans="5:5">
      <c r="E419" s="30"/>
    </row>
    <row r="420" spans="5:5">
      <c r="E420" s="30"/>
    </row>
    <row r="421" spans="5:5">
      <c r="E421" s="30"/>
    </row>
    <row r="422" spans="5:5">
      <c r="E422" s="30"/>
    </row>
    <row r="423" spans="5:5">
      <c r="E423" s="30"/>
    </row>
    <row r="424" spans="5:5">
      <c r="E424" s="30"/>
    </row>
    <row r="425" spans="5:5">
      <c r="E425" s="30"/>
    </row>
    <row r="426" spans="5:5">
      <c r="E426" s="30"/>
    </row>
    <row r="427" spans="5:5">
      <c r="E427" s="30"/>
    </row>
    <row r="428" spans="5:5">
      <c r="E428" s="30"/>
    </row>
    <row r="429" spans="5:5">
      <c r="E429" s="30"/>
    </row>
    <row r="430" spans="5:5">
      <c r="E430" s="30"/>
    </row>
    <row r="431" spans="5:5">
      <c r="E431" s="30"/>
    </row>
    <row r="432" spans="5:5">
      <c r="E432" s="30"/>
    </row>
    <row r="433" spans="5:5">
      <c r="E433" s="30"/>
    </row>
    <row r="434" spans="5:5">
      <c r="E434" s="30"/>
    </row>
    <row r="435" spans="5:5">
      <c r="E435" s="30"/>
    </row>
    <row r="436" spans="5:5">
      <c r="E436" s="30"/>
    </row>
    <row r="437" spans="5:5">
      <c r="E437" s="30"/>
    </row>
    <row r="438" spans="5:5">
      <c r="E438" s="30"/>
    </row>
    <row r="439" spans="5:5">
      <c r="E439" s="30"/>
    </row>
    <row r="440" spans="5:5">
      <c r="E440" s="30"/>
    </row>
    <row r="441" spans="5:5">
      <c r="E441" s="30"/>
    </row>
    <row r="442" spans="5:5">
      <c r="E442" s="30"/>
    </row>
    <row r="443" spans="5:5">
      <c r="E443" s="30"/>
    </row>
    <row r="444" spans="5:5">
      <c r="E444" s="30"/>
    </row>
    <row r="445" spans="5:5">
      <c r="E445" s="30"/>
    </row>
    <row r="446" spans="5:5">
      <c r="E446" s="30"/>
    </row>
    <row r="447" spans="5:5">
      <c r="E447" s="30"/>
    </row>
    <row r="448" spans="5:5">
      <c r="E448" s="30"/>
    </row>
    <row r="449" spans="5:5">
      <c r="E449" s="30"/>
    </row>
    <row r="450" spans="5:5">
      <c r="E450" s="30"/>
    </row>
    <row r="451" spans="5:5">
      <c r="E451" s="30"/>
    </row>
    <row r="452" spans="5:5">
      <c r="E452" s="30"/>
    </row>
    <row r="453" spans="5:5">
      <c r="E453" s="30"/>
    </row>
    <row r="454" spans="5:5">
      <c r="E454" s="30"/>
    </row>
    <row r="455" spans="5:5">
      <c r="E455" s="30"/>
    </row>
    <row r="456" spans="5:5">
      <c r="E456" s="30"/>
    </row>
    <row r="457" spans="5:5">
      <c r="E457" s="30"/>
    </row>
    <row r="458" spans="5:5">
      <c r="E458" s="30"/>
    </row>
    <row r="459" spans="5:5">
      <c r="E459" s="30"/>
    </row>
    <row r="460" spans="5:5">
      <c r="E460" s="30"/>
    </row>
    <row r="461" spans="5:5">
      <c r="E461" s="30"/>
    </row>
    <row r="462" spans="5:5">
      <c r="E462" s="30"/>
    </row>
    <row r="463" spans="5:5">
      <c r="E463" s="30"/>
    </row>
    <row r="464" spans="5:5">
      <c r="E464" s="30"/>
    </row>
    <row r="465" spans="5:5">
      <c r="E465" s="30"/>
    </row>
    <row r="466" spans="5:5">
      <c r="E466" s="30"/>
    </row>
    <row r="467" spans="5:5">
      <c r="E467" s="30"/>
    </row>
    <row r="468" spans="5:5">
      <c r="E468" s="30"/>
    </row>
    <row r="469" spans="5:5">
      <c r="E469" s="30"/>
    </row>
    <row r="470" spans="5:5">
      <c r="E470" s="30"/>
    </row>
    <row r="471" spans="5:5">
      <c r="E471" s="30"/>
    </row>
    <row r="472" spans="5:5">
      <c r="E472" s="30"/>
    </row>
    <row r="473" spans="5:5">
      <c r="E473" s="30"/>
    </row>
    <row r="474" spans="5:5">
      <c r="E474" s="30"/>
    </row>
    <row r="475" spans="5:5">
      <c r="E475" s="30"/>
    </row>
    <row r="476" spans="5:5">
      <c r="E476" s="30"/>
    </row>
    <row r="477" spans="5:5">
      <c r="E477" s="30"/>
    </row>
    <row r="478" spans="5:5">
      <c r="E478" s="30"/>
    </row>
    <row r="479" spans="5:5">
      <c r="E479" s="30"/>
    </row>
    <row r="480" spans="5:5">
      <c r="E480" s="30"/>
    </row>
    <row r="481" spans="5:5">
      <c r="E481" s="30"/>
    </row>
    <row r="482" spans="5:5">
      <c r="E482" s="30"/>
    </row>
    <row r="483" spans="5:5">
      <c r="E483" s="30"/>
    </row>
    <row r="484" spans="5:5">
      <c r="E484" s="30"/>
    </row>
    <row r="485" spans="5:5">
      <c r="E485" s="30"/>
    </row>
    <row r="486" spans="5:5">
      <c r="E486" s="30"/>
    </row>
    <row r="487" spans="5:5">
      <c r="E487" s="30"/>
    </row>
    <row r="488" spans="5:5">
      <c r="E488" s="30"/>
    </row>
    <row r="489" spans="5:5">
      <c r="E489" s="30"/>
    </row>
    <row r="490" spans="5:5">
      <c r="E490" s="30"/>
    </row>
    <row r="491" spans="5:5">
      <c r="E491" s="30"/>
    </row>
    <row r="492" spans="5:5">
      <c r="E492" s="30"/>
    </row>
    <row r="493" spans="5:5">
      <c r="E493" s="30"/>
    </row>
    <row r="494" spans="5:5">
      <c r="E494" s="30"/>
    </row>
    <row r="495" spans="5:5">
      <c r="E495" s="30"/>
    </row>
    <row r="496" spans="5:5">
      <c r="E496" s="30"/>
    </row>
    <row r="497" spans="5:5">
      <c r="E497" s="30"/>
    </row>
    <row r="498" spans="5:5">
      <c r="E498" s="30"/>
    </row>
    <row r="499" spans="5:5">
      <c r="E499" s="30"/>
    </row>
    <row r="500" spans="5:5">
      <c r="E500" s="30"/>
    </row>
    <row r="501" spans="5:5">
      <c r="E501" s="30"/>
    </row>
    <row r="502" spans="5:5">
      <c r="E502" s="30"/>
    </row>
    <row r="503" spans="5:5">
      <c r="E503" s="30"/>
    </row>
    <row r="504" spans="5:5">
      <c r="E504" s="30"/>
    </row>
    <row r="505" spans="5:5">
      <c r="E505" s="30"/>
    </row>
    <row r="506" spans="5:5">
      <c r="E506" s="30"/>
    </row>
    <row r="507" spans="5:5">
      <c r="E507" s="30"/>
    </row>
    <row r="508" spans="5:5">
      <c r="E508" s="30"/>
    </row>
    <row r="509" spans="5:5">
      <c r="E509" s="30"/>
    </row>
    <row r="510" spans="5:5">
      <c r="E510" s="30"/>
    </row>
    <row r="511" spans="5:5">
      <c r="E511" s="30"/>
    </row>
    <row r="512" spans="5:5">
      <c r="E512" s="30"/>
    </row>
    <row r="513" spans="5:5">
      <c r="E513" s="30"/>
    </row>
    <row r="514" spans="5:5">
      <c r="E514" s="30"/>
    </row>
    <row r="515" spans="5:5">
      <c r="E515" s="30"/>
    </row>
    <row r="516" spans="5:5">
      <c r="E516" s="30"/>
    </row>
    <row r="517" spans="5:5">
      <c r="E517" s="30"/>
    </row>
    <row r="518" spans="5:5">
      <c r="E518" s="30"/>
    </row>
    <row r="519" spans="5:5">
      <c r="E519" s="30"/>
    </row>
    <row r="520" spans="5:5">
      <c r="E520" s="30"/>
    </row>
    <row r="521" spans="5:5">
      <c r="E521" s="30"/>
    </row>
    <row r="522" spans="5:5">
      <c r="E522" s="30"/>
    </row>
    <row r="523" spans="5:5">
      <c r="E523" s="30"/>
    </row>
    <row r="524" spans="5:5">
      <c r="E524" s="30"/>
    </row>
    <row r="525" spans="5:5">
      <c r="E525" s="30"/>
    </row>
    <row r="526" spans="5:5">
      <c r="E526" s="30"/>
    </row>
    <row r="527" spans="5:5">
      <c r="E527" s="30"/>
    </row>
    <row r="528" spans="5:5">
      <c r="E528" s="30"/>
    </row>
    <row r="529" spans="5:5">
      <c r="E529" s="30"/>
    </row>
    <row r="530" spans="5:5">
      <c r="E530" s="30"/>
    </row>
    <row r="531" spans="5:5">
      <c r="E531" s="30"/>
    </row>
    <row r="532" spans="5:5">
      <c r="E532" s="30"/>
    </row>
    <row r="533" spans="5:5">
      <c r="E533" s="30"/>
    </row>
    <row r="534" spans="5:5">
      <c r="E534" s="30"/>
    </row>
    <row r="535" spans="5:5">
      <c r="E535" s="30"/>
    </row>
    <row r="536" spans="5:5">
      <c r="E536" s="30"/>
    </row>
    <row r="537" spans="5:5">
      <c r="E537" s="30"/>
    </row>
    <row r="538" spans="5:5">
      <c r="E538" s="30"/>
    </row>
    <row r="539" spans="5:5">
      <c r="E539" s="30"/>
    </row>
    <row r="540" spans="5:5">
      <c r="E540" s="30"/>
    </row>
    <row r="541" spans="5:5">
      <c r="E541" s="30"/>
    </row>
    <row r="542" spans="5:5">
      <c r="E542" s="30"/>
    </row>
    <row r="543" spans="5:5">
      <c r="E543" s="30"/>
    </row>
    <row r="544" spans="5:5">
      <c r="E544" s="30"/>
    </row>
    <row r="545" spans="5:5">
      <c r="E545" s="30"/>
    </row>
    <row r="546" spans="5:5">
      <c r="E546" s="30"/>
    </row>
    <row r="547" spans="5:5">
      <c r="E547" s="30"/>
    </row>
    <row r="548" spans="5:5">
      <c r="E548" s="30"/>
    </row>
    <row r="549" spans="5:5">
      <c r="E549" s="30"/>
    </row>
    <row r="550" spans="5:5">
      <c r="E550" s="30"/>
    </row>
    <row r="551" spans="5:5">
      <c r="E551" s="30"/>
    </row>
    <row r="552" spans="5:5">
      <c r="E552" s="30"/>
    </row>
    <row r="553" spans="5:5">
      <c r="E553" s="30"/>
    </row>
    <row r="554" spans="5:5">
      <c r="E554" s="30"/>
    </row>
    <row r="555" spans="5:5">
      <c r="E555" s="30"/>
    </row>
    <row r="556" spans="5:5">
      <c r="E556" s="30"/>
    </row>
    <row r="557" spans="5:5">
      <c r="E557" s="30"/>
    </row>
    <row r="558" spans="5:5">
      <c r="E558" s="30"/>
    </row>
    <row r="559" spans="5:5">
      <c r="E559" s="30"/>
    </row>
    <row r="560" spans="5:5">
      <c r="E560" s="30"/>
    </row>
    <row r="561" spans="5:5">
      <c r="E561" s="30"/>
    </row>
    <row r="562" spans="5:5">
      <c r="E562" s="30"/>
    </row>
    <row r="563" spans="5:5">
      <c r="E563" s="30"/>
    </row>
    <row r="564" spans="5:5">
      <c r="E564" s="30"/>
    </row>
    <row r="565" spans="5:5">
      <c r="E565" s="30"/>
    </row>
    <row r="566" spans="5:5">
      <c r="E566" s="30"/>
    </row>
    <row r="567" spans="5:5">
      <c r="E567" s="30"/>
    </row>
    <row r="568" spans="5:5">
      <c r="E568" s="30"/>
    </row>
    <row r="569" spans="5:5">
      <c r="E569" s="30"/>
    </row>
    <row r="570" spans="5:5">
      <c r="E570" s="30"/>
    </row>
    <row r="571" spans="5:5">
      <c r="E571" s="30"/>
    </row>
    <row r="572" spans="5:5">
      <c r="E572" s="30"/>
    </row>
    <row r="573" spans="5:5">
      <c r="E573" s="30"/>
    </row>
    <row r="574" spans="5:5">
      <c r="E574" s="30"/>
    </row>
    <row r="575" spans="5:5">
      <c r="E575" s="30"/>
    </row>
    <row r="576" spans="5:5">
      <c r="E576" s="30"/>
    </row>
    <row r="577" spans="5:5">
      <c r="E577" s="30"/>
    </row>
    <row r="578" spans="5:5">
      <c r="E578" s="30"/>
    </row>
    <row r="579" spans="5:5">
      <c r="E579" s="30"/>
    </row>
    <row r="580" spans="5:5">
      <c r="E580" s="30"/>
    </row>
    <row r="581" spans="5:5">
      <c r="E581" s="30"/>
    </row>
    <row r="582" spans="5:5">
      <c r="E582" s="30"/>
    </row>
    <row r="583" spans="5:5">
      <c r="E583" s="30"/>
    </row>
    <row r="584" spans="5:5">
      <c r="E584" s="30"/>
    </row>
    <row r="585" spans="5:5">
      <c r="E585" s="30"/>
    </row>
    <row r="586" spans="5:5">
      <c r="E586" s="30"/>
    </row>
    <row r="587" spans="5:5">
      <c r="E587" s="30"/>
    </row>
    <row r="588" spans="5:5">
      <c r="E588" s="30"/>
    </row>
    <row r="589" spans="5:5">
      <c r="E589" s="30"/>
    </row>
    <row r="590" spans="5:5">
      <c r="E590" s="30"/>
    </row>
    <row r="591" spans="5:5">
      <c r="E591" s="30"/>
    </row>
    <row r="592" spans="5:5">
      <c r="E592" s="30"/>
    </row>
    <row r="593" spans="5:5">
      <c r="E593" s="30"/>
    </row>
    <row r="594" spans="5:5">
      <c r="E594" s="30"/>
    </row>
    <row r="595" spans="5:5">
      <c r="E595" s="30"/>
    </row>
    <row r="596" spans="5:5">
      <c r="E596" s="30"/>
    </row>
    <row r="597" spans="5:5">
      <c r="E597" s="30"/>
    </row>
    <row r="598" spans="5:5">
      <c r="E598" s="30"/>
    </row>
    <row r="599" spans="5:5">
      <c r="E599" s="30"/>
    </row>
    <row r="600" spans="5:5">
      <c r="E600" s="30"/>
    </row>
    <row r="601" spans="5:5">
      <c r="E601" s="30"/>
    </row>
    <row r="602" spans="5:5">
      <c r="E602" s="30"/>
    </row>
    <row r="603" spans="5:5">
      <c r="E603" s="30"/>
    </row>
    <row r="604" spans="5:5">
      <c r="E604" s="30"/>
    </row>
    <row r="605" spans="5:5">
      <c r="E605" s="30"/>
    </row>
    <row r="606" spans="5:5">
      <c r="E606" s="30"/>
    </row>
    <row r="607" spans="5:5">
      <c r="E607" s="30"/>
    </row>
    <row r="608" spans="5:5">
      <c r="E608" s="30"/>
    </row>
    <row r="609" spans="5:5">
      <c r="E609" s="30"/>
    </row>
    <row r="610" spans="5:5">
      <c r="E610" s="30"/>
    </row>
    <row r="611" spans="5:5">
      <c r="E611" s="30"/>
    </row>
    <row r="612" spans="5:5">
      <c r="E612" s="30"/>
    </row>
    <row r="613" spans="5:5">
      <c r="E613" s="30"/>
    </row>
    <row r="614" spans="5:5">
      <c r="E614" s="30"/>
    </row>
    <row r="615" spans="5:5">
      <c r="E615" s="30"/>
    </row>
    <row r="616" spans="5:5">
      <c r="E616" s="30"/>
    </row>
    <row r="617" spans="5:5">
      <c r="E617" s="30"/>
    </row>
    <row r="618" spans="5:5">
      <c r="E618" s="30"/>
    </row>
    <row r="619" spans="5:5">
      <c r="E619" s="30"/>
    </row>
    <row r="620" spans="5:5">
      <c r="E620" s="30"/>
    </row>
    <row r="621" spans="5:5">
      <c r="E621" s="30"/>
    </row>
    <row r="622" spans="5:5">
      <c r="E622" s="30"/>
    </row>
    <row r="623" spans="5:5">
      <c r="E623" s="30"/>
    </row>
    <row r="624" spans="5:5">
      <c r="E624" s="30"/>
    </row>
    <row r="625" spans="5:5">
      <c r="E625" s="30"/>
    </row>
    <row r="626" spans="5:5">
      <c r="E626" s="30"/>
    </row>
    <row r="627" spans="5:5">
      <c r="E627" s="30"/>
    </row>
    <row r="628" spans="5:5">
      <c r="E628" s="30"/>
    </row>
    <row r="629" spans="5:5">
      <c r="E629" s="30"/>
    </row>
    <row r="630" spans="5:5">
      <c r="E630" s="30"/>
    </row>
    <row r="631" spans="5:5">
      <c r="E631" s="30"/>
    </row>
    <row r="632" spans="5:5">
      <c r="E632" s="30"/>
    </row>
    <row r="633" spans="5:5">
      <c r="E633" s="30"/>
    </row>
    <row r="634" spans="5:5">
      <c r="E634" s="30"/>
    </row>
    <row r="635" spans="5:5">
      <c r="E635" s="30"/>
    </row>
    <row r="636" spans="5:5">
      <c r="E636" s="30"/>
    </row>
    <row r="637" spans="5:5">
      <c r="E637" s="30"/>
    </row>
    <row r="638" spans="5:5">
      <c r="E638" s="30"/>
    </row>
    <row r="639" spans="5:5">
      <c r="E639" s="30"/>
    </row>
    <row r="640" spans="5:5">
      <c r="E640" s="30"/>
    </row>
    <row r="641" spans="5:5">
      <c r="E641" s="30"/>
    </row>
    <row r="642" spans="5:5">
      <c r="E642" s="30"/>
    </row>
    <row r="643" spans="5:5">
      <c r="E643" s="30"/>
    </row>
    <row r="644" spans="5:5">
      <c r="E644" s="30"/>
    </row>
    <row r="645" spans="5:5">
      <c r="E645" s="30"/>
    </row>
    <row r="646" spans="5:5">
      <c r="E646" s="30"/>
    </row>
    <row r="647" spans="5:5">
      <c r="E647" s="30"/>
    </row>
    <row r="648" spans="5:5">
      <c r="E648" s="30"/>
    </row>
    <row r="649" spans="5:5">
      <c r="E649" s="30"/>
    </row>
    <row r="650" spans="5:5">
      <c r="E650" s="30"/>
    </row>
    <row r="651" spans="5:5">
      <c r="E651" s="30"/>
    </row>
    <row r="652" spans="5:5">
      <c r="E652" s="30"/>
    </row>
    <row r="653" spans="5:5">
      <c r="E653" s="30"/>
    </row>
    <row r="654" spans="5:5">
      <c r="E654" s="30"/>
    </row>
    <row r="655" spans="5:5">
      <c r="E655" s="30"/>
    </row>
    <row r="656" spans="5:5">
      <c r="E656" s="30"/>
    </row>
    <row r="657" spans="5:5">
      <c r="E657" s="30"/>
    </row>
    <row r="658" spans="5:5">
      <c r="E658" s="30"/>
    </row>
    <row r="659" spans="5:5">
      <c r="E659" s="30"/>
    </row>
    <row r="660" spans="5:5">
      <c r="E660" s="30"/>
    </row>
    <row r="661" spans="5:5">
      <c r="E661" s="30"/>
    </row>
    <row r="662" spans="5:5">
      <c r="E662" s="30"/>
    </row>
    <row r="663" spans="5:5">
      <c r="E663" s="30"/>
    </row>
    <row r="664" spans="5:5">
      <c r="E664" s="30"/>
    </row>
    <row r="665" spans="5:5">
      <c r="E665" s="30"/>
    </row>
    <row r="666" spans="5:5">
      <c r="E666" s="30"/>
    </row>
    <row r="667" spans="5:5">
      <c r="E667" s="30"/>
    </row>
    <row r="668" spans="5:5">
      <c r="E668" s="30"/>
    </row>
    <row r="669" spans="5:5">
      <c r="E669" s="30"/>
    </row>
    <row r="670" spans="5:5">
      <c r="E670" s="30"/>
    </row>
    <row r="671" spans="5:5">
      <c r="E671" s="30"/>
    </row>
    <row r="672" spans="5:5">
      <c r="E672" s="30"/>
    </row>
    <row r="673" spans="5:5">
      <c r="E673" s="30"/>
    </row>
    <row r="674" spans="5:5">
      <c r="E674" s="30"/>
    </row>
    <row r="675" spans="5:5">
      <c r="E675" s="30"/>
    </row>
    <row r="676" spans="5:5">
      <c r="E676" s="30"/>
    </row>
    <row r="677" spans="5:5">
      <c r="E677" s="30"/>
    </row>
    <row r="678" spans="5:5">
      <c r="E678" s="30"/>
    </row>
    <row r="679" spans="5:5">
      <c r="E679" s="30"/>
    </row>
    <row r="680" spans="5:5">
      <c r="E680" s="30"/>
    </row>
    <row r="681" spans="5:5">
      <c r="E681" s="30"/>
    </row>
    <row r="682" spans="5:5">
      <c r="E682" s="30"/>
    </row>
    <row r="683" spans="5:5">
      <c r="E683" s="30"/>
    </row>
    <row r="684" spans="5:5">
      <c r="E684" s="30"/>
    </row>
    <row r="685" spans="5:5">
      <c r="E685" s="30"/>
    </row>
    <row r="686" spans="5:5">
      <c r="E686" s="30"/>
    </row>
    <row r="687" spans="5:5">
      <c r="E687" s="30"/>
    </row>
    <row r="688" spans="5:5">
      <c r="E688" s="30"/>
    </row>
    <row r="689" spans="5:5">
      <c r="E689" s="30"/>
    </row>
    <row r="690" spans="5:5">
      <c r="E690" s="30"/>
    </row>
    <row r="691" spans="5:5">
      <c r="E691" s="30"/>
    </row>
    <row r="692" spans="5:5">
      <c r="E692" s="30"/>
    </row>
    <row r="693" spans="5:5">
      <c r="E693" s="30"/>
    </row>
    <row r="694" spans="5:5">
      <c r="E694" s="30"/>
    </row>
    <row r="695" spans="5:5">
      <c r="E695" s="30"/>
    </row>
    <row r="696" spans="5:5">
      <c r="E696" s="30"/>
    </row>
    <row r="697" spans="5:5">
      <c r="E697" s="30"/>
    </row>
    <row r="698" spans="5:5">
      <c r="E698" s="30"/>
    </row>
    <row r="699" spans="5:5">
      <c r="E699" s="30"/>
    </row>
    <row r="700" spans="5:5">
      <c r="E700" s="30"/>
    </row>
    <row r="701" spans="5:5">
      <c r="E701" s="30"/>
    </row>
    <row r="702" spans="5:5">
      <c r="E702" s="30"/>
    </row>
    <row r="703" spans="5:5">
      <c r="E703" s="30"/>
    </row>
    <row r="704" spans="5:5">
      <c r="E704" s="30"/>
    </row>
    <row r="705" spans="5:5">
      <c r="E705" s="30"/>
    </row>
    <row r="706" spans="5:5">
      <c r="E706" s="30"/>
    </row>
    <row r="707" spans="5:5">
      <c r="E707" s="30"/>
    </row>
    <row r="708" spans="5:5">
      <c r="E708" s="30"/>
    </row>
    <row r="709" spans="5:5">
      <c r="E709" s="30"/>
    </row>
    <row r="710" spans="5:5">
      <c r="E710" s="30"/>
    </row>
    <row r="711" spans="5:5">
      <c r="E711" s="30"/>
    </row>
    <row r="712" spans="5:5">
      <c r="E712" s="30"/>
    </row>
    <row r="713" spans="5:5">
      <c r="E713" s="30"/>
    </row>
    <row r="714" spans="5:5">
      <c r="E714" s="30"/>
    </row>
    <row r="715" spans="5:5">
      <c r="E715" s="30"/>
    </row>
    <row r="716" spans="5:5">
      <c r="E716" s="30"/>
    </row>
    <row r="717" spans="5:5">
      <c r="E717" s="30"/>
    </row>
    <row r="718" spans="5:5">
      <c r="E718" s="30"/>
    </row>
    <row r="719" spans="5:5">
      <c r="E719" s="30"/>
    </row>
    <row r="720" spans="5:5">
      <c r="E720" s="30"/>
    </row>
    <row r="721" spans="5:5">
      <c r="E721" s="30"/>
    </row>
    <row r="722" spans="5:5">
      <c r="E722" s="30"/>
    </row>
    <row r="723" spans="5:5">
      <c r="E723" s="30"/>
    </row>
    <row r="724" spans="5:5">
      <c r="E724" s="30"/>
    </row>
    <row r="725" spans="5:5">
      <c r="E725" s="30"/>
    </row>
    <row r="726" spans="5:5">
      <c r="E726" s="30"/>
    </row>
    <row r="727" spans="5:5">
      <c r="E727" s="30"/>
    </row>
    <row r="728" spans="5:5">
      <c r="E728" s="30"/>
    </row>
    <row r="729" spans="5:5">
      <c r="E729" s="30"/>
    </row>
    <row r="730" spans="5:5">
      <c r="E730" s="30"/>
    </row>
    <row r="731" spans="5:5">
      <c r="E731" s="30"/>
    </row>
    <row r="732" spans="5:5">
      <c r="E732" s="30"/>
    </row>
    <row r="733" spans="5:5">
      <c r="E733" s="30"/>
    </row>
    <row r="734" spans="5:5">
      <c r="E734" s="30"/>
    </row>
    <row r="735" spans="5:5">
      <c r="E735" s="30"/>
    </row>
    <row r="736" spans="5:5">
      <c r="E736" s="30"/>
    </row>
    <row r="737" spans="5:5">
      <c r="E737" s="30"/>
    </row>
    <row r="738" spans="5:5">
      <c r="E738" s="30"/>
    </row>
    <row r="739" spans="5:5">
      <c r="E739" s="30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6482-AC36-4117-9B0E-D84F3B4C77E0}">
  <dimension ref="A1:B7"/>
  <sheetViews>
    <sheetView workbookViewId="0">
      <selection activeCell="B18" sqref="B18"/>
    </sheetView>
  </sheetViews>
  <sheetFormatPr defaultRowHeight="15"/>
  <cols>
    <col min="1" max="1" width="12.7109375" bestFit="1" customWidth="1"/>
    <col min="2" max="2" width="17.7109375" bestFit="1" customWidth="1"/>
  </cols>
  <sheetData>
    <row r="1" spans="1:2">
      <c r="A1" t="s">
        <v>627</v>
      </c>
      <c r="B1" t="s">
        <v>628</v>
      </c>
    </row>
    <row r="2" spans="1:2">
      <c r="A2">
        <v>0</v>
      </c>
      <c r="B2" t="s">
        <v>629</v>
      </c>
    </row>
    <row r="3" spans="1:2">
      <c r="A3">
        <v>1</v>
      </c>
      <c r="B3" s="21" t="s">
        <v>630</v>
      </c>
    </row>
    <row r="4" spans="1:2">
      <c r="A4">
        <v>2</v>
      </c>
      <c r="B4" t="s">
        <v>631</v>
      </c>
    </row>
    <row r="5" spans="1:2">
      <c r="A5">
        <v>3</v>
      </c>
      <c r="B5" t="s">
        <v>632</v>
      </c>
    </row>
    <row r="6" spans="1:2">
      <c r="A6">
        <v>4</v>
      </c>
      <c r="B6" t="s">
        <v>633</v>
      </c>
    </row>
    <row r="7" spans="1:2">
      <c r="A7">
        <v>5</v>
      </c>
      <c r="B7" t="s">
        <v>634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5B69-A52B-425D-88CA-5B0E961D0A8E}">
  <dimension ref="A1:E6"/>
  <sheetViews>
    <sheetView workbookViewId="0">
      <selection activeCell="A7" sqref="A7:E7"/>
    </sheetView>
  </sheetViews>
  <sheetFormatPr defaultRowHeight="15"/>
  <cols>
    <col min="1" max="1" width="16" bestFit="1" customWidth="1"/>
    <col min="2" max="2" width="16.85546875" bestFit="1" customWidth="1"/>
  </cols>
  <sheetData>
    <row r="1" spans="1:5">
      <c r="A1" s="3" t="s">
        <v>635</v>
      </c>
      <c r="B1" s="3" t="s">
        <v>636</v>
      </c>
      <c r="C1" s="3" t="s">
        <v>637</v>
      </c>
      <c r="D1" s="3" t="s">
        <v>638</v>
      </c>
      <c r="E1" s="3" t="s">
        <v>50</v>
      </c>
    </row>
    <row r="2" spans="1:5">
      <c r="A2">
        <v>0</v>
      </c>
      <c r="B2" t="s">
        <v>24</v>
      </c>
      <c r="C2" t="s">
        <v>639</v>
      </c>
      <c r="D2" t="s">
        <v>640</v>
      </c>
      <c r="E2" t="s">
        <v>641</v>
      </c>
    </row>
    <row r="3" spans="1:5">
      <c r="A3">
        <v>1</v>
      </c>
      <c r="B3" t="s">
        <v>25</v>
      </c>
      <c r="C3" t="s">
        <v>642</v>
      </c>
      <c r="D3" t="s">
        <v>643</v>
      </c>
      <c r="E3" t="s">
        <v>14</v>
      </c>
    </row>
    <row r="4" spans="1:5">
      <c r="A4">
        <v>2</v>
      </c>
      <c r="B4" t="s">
        <v>26</v>
      </c>
      <c r="C4" t="s">
        <v>644</v>
      </c>
      <c r="D4" t="s">
        <v>645</v>
      </c>
      <c r="E4" t="s">
        <v>641</v>
      </c>
    </row>
    <row r="5" spans="1:5">
      <c r="A5">
        <v>3</v>
      </c>
      <c r="B5" t="s">
        <v>27</v>
      </c>
      <c r="C5" t="s">
        <v>646</v>
      </c>
      <c r="D5" t="s">
        <v>647</v>
      </c>
      <c r="E5" t="s">
        <v>641</v>
      </c>
    </row>
    <row r="6" spans="1:5">
      <c r="A6">
        <v>4</v>
      </c>
      <c r="B6" t="s">
        <v>28</v>
      </c>
      <c r="C6" t="s">
        <v>648</v>
      </c>
      <c r="D6" t="s">
        <v>649</v>
      </c>
      <c r="E6" t="s">
        <v>641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7FEFF-5573-4EAC-9080-985087858225}">
  <dimension ref="A1:Q18"/>
  <sheetViews>
    <sheetView workbookViewId="0">
      <selection activeCell="K16" sqref="K16"/>
    </sheetView>
  </sheetViews>
  <sheetFormatPr defaultRowHeight="15"/>
  <cols>
    <col min="1" max="1" width="12.7109375" bestFit="1" customWidth="1"/>
    <col min="2" max="2" width="17.42578125" bestFit="1" customWidth="1"/>
    <col min="4" max="4" width="13.7109375" bestFit="1" customWidth="1"/>
    <col min="5" max="5" width="14.140625" bestFit="1" customWidth="1"/>
    <col min="12" max="12" width="11.42578125" bestFit="1" customWidth="1"/>
    <col min="13" max="13" width="11" bestFit="1" customWidth="1"/>
    <col min="14" max="14" width="15.5703125" bestFit="1" customWidth="1"/>
    <col min="15" max="15" width="14.140625" bestFit="1" customWidth="1"/>
    <col min="16" max="16" width="12.85546875" bestFit="1" customWidth="1"/>
    <col min="17" max="17" width="17.42578125" bestFit="1" customWidth="1"/>
  </cols>
  <sheetData>
    <row r="1" spans="1:17">
      <c r="A1" t="s">
        <v>627</v>
      </c>
      <c r="B1" t="s">
        <v>628</v>
      </c>
      <c r="C1" t="s">
        <v>640</v>
      </c>
      <c r="D1" t="s">
        <v>643</v>
      </c>
      <c r="E1" t="s">
        <v>645</v>
      </c>
      <c r="F1" t="s">
        <v>647</v>
      </c>
      <c r="G1" t="s">
        <v>649</v>
      </c>
      <c r="H1" t="s">
        <v>650</v>
      </c>
      <c r="I1" t="s">
        <v>651</v>
      </c>
      <c r="J1" t="s">
        <v>652</v>
      </c>
      <c r="K1" t="s">
        <v>653</v>
      </c>
      <c r="L1" t="s">
        <v>654</v>
      </c>
      <c r="M1" t="s">
        <v>655</v>
      </c>
      <c r="N1" t="s">
        <v>21</v>
      </c>
      <c r="O1" t="s">
        <v>656</v>
      </c>
      <c r="P1" t="s">
        <v>22</v>
      </c>
      <c r="Q1" t="s">
        <v>657</v>
      </c>
    </row>
    <row r="2" spans="1:17">
      <c r="A2">
        <v>1</v>
      </c>
      <c r="B2" t="s">
        <v>630</v>
      </c>
      <c r="C2">
        <f>SUMIFS(APP_DATA!$D:$D,APP_DATA!$C:$C,tblClassificaNorm[[#This Row],[SquadraID]],APP_DATA!$I:$I,0)</f>
        <v>98</v>
      </c>
      <c r="D2">
        <f>SUMIFS(APP_DATA!$D:$D,APP_DATA!$C:$C,tblClassificaNorm[[#This Row],[SquadraID]],APP_DATA!$I:$I,1)</f>
        <v>80</v>
      </c>
      <c r="E2">
        <f>SUMIFS(APP_DATA!$D:$D,APP_DATA!$C:$C,tblClassificaNorm[[#This Row],[SquadraID]],APP_DATA!$I:$I,2)</f>
        <v>43</v>
      </c>
      <c r="F2">
        <f>SUMIFS(APP_DATA!$D:$D,APP_DATA!$C:$C,tblClassificaNorm[[#This Row],[SquadraID]],APP_DATA!$I:$I,3)</f>
        <v>55</v>
      </c>
      <c r="G2">
        <f>SUMIFS(APP_DATA!$D:$D,APP_DATA!$C:$C,tblClassificaNorm[[#This Row],[SquadraID]],APP_DATA!$I:$I,4)</f>
        <v>83</v>
      </c>
      <c r="H2">
        <f>SUMIFS(APP_DATA!$D:$D,APP_DATA!$C:$C,tblClassificaNorm[[#This Row],[SquadraID]],APP_DATA!$I:$I,5)</f>
        <v>0</v>
      </c>
      <c r="I2">
        <f>SUMIFS(APP_DATA!$D:$D,APP_DATA!$C:$C,tblClassificaNorm[[#This Row],[SquadraID]],APP_DATA!$I:$I,6)</f>
        <v>0</v>
      </c>
      <c r="J2">
        <f>SUMIF(APP_DATA!$C:$C,tblClassificaNorm[[#This Row],[SquadraID]],APP_DATA!$D:$D)</f>
        <v>359</v>
      </c>
      <c r="K2">
        <f>SUMIFS(APP_DATA!$D:$D,APP_DATA!$C:$C,tblClassificaNorm[[#This Row],[SquadraID]],APP_DATA!$H:$H,TRUE)</f>
        <v>154</v>
      </c>
      <c r="L2">
        <f>_xlfn.RANK.EQ(tblClassificaNorm[[#This Row],[Totale]],tblClassificaNorm[Totale],0)</f>
        <v>2</v>
      </c>
      <c r="M2">
        <f>_xlfn.RANK.EQ(tblClassificaNorm[[#This Row],[SEP]],tblClassificaNorm[SEP],0)</f>
        <v>1</v>
      </c>
      <c r="N2" s="22">
        <f>SUM(tblScenaExportScheda[MaxSchede])</f>
        <v>0</v>
      </c>
      <c r="O2" s="92">
        <f>IF(tblClassificaNorm[[#This Row],[MaxTotScena]]=0,
  0,
  tblClassificaNorm[[#This Row],[Totale]]/tblClassificaNorm[[#This Row],[MaxTotScena]])</f>
        <v>0</v>
      </c>
      <c r="P2">
        <f>SUM(tblScenaExportScheda[MaxSep])</f>
        <v>0</v>
      </c>
    </row>
    <row r="3" spans="1:17">
      <c r="A3">
        <v>2</v>
      </c>
      <c r="B3" t="s">
        <v>631</v>
      </c>
      <c r="C3">
        <f>SUMIFS(APP_DATA!$D:$D,APP_DATA!$C:$C,tblClassificaNorm[[#This Row],[SquadraID]],APP_DATA!$I:$I,0)</f>
        <v>109</v>
      </c>
      <c r="D3">
        <f>SUMIFS(APP_DATA!$D:$D,APP_DATA!$C:$C,tblClassificaNorm[[#This Row],[SquadraID]],APP_DATA!$I:$I,1)</f>
        <v>81</v>
      </c>
      <c r="E3">
        <f>SUMIFS(APP_DATA!$D:$D,APP_DATA!$C:$C,tblClassificaNorm[[#This Row],[SquadraID]],APP_DATA!$I:$I,2)</f>
        <v>48</v>
      </c>
      <c r="F3">
        <f>SUMIFS(APP_DATA!$D:$D,APP_DATA!$C:$C,tblClassificaNorm[[#This Row],[SquadraID]],APP_DATA!$I:$I,3)</f>
        <v>71</v>
      </c>
      <c r="G3">
        <f>SUMIFS(APP_DATA!$D:$D,APP_DATA!$C:$C,tblClassificaNorm[[#This Row],[SquadraID]],APP_DATA!$I:$I,4)</f>
        <v>77</v>
      </c>
      <c r="H3">
        <f>SUMIFS(APP_DATA!$D:$D,APP_DATA!$C:$C,tblClassificaNorm[[#This Row],[SquadraID]],APP_DATA!$I:$I,5)</f>
        <v>0</v>
      </c>
      <c r="I3">
        <f>SUMIFS(APP_DATA!$D:$D,APP_DATA!$C:$C,tblClassificaNorm[[#This Row],[SquadraID]],APP_DATA!$I:$I,6)</f>
        <v>0</v>
      </c>
      <c r="J3">
        <f>SUMIF(APP_DATA!$C:$C,tblClassificaNorm[[#This Row],[SquadraID]],APP_DATA!$D:$D)</f>
        <v>386</v>
      </c>
      <c r="K3">
        <f>SUMIFS(APP_DATA!$D:$D,APP_DATA!$C:$C,tblClassificaNorm[[#This Row],[SquadraID]],APP_DATA!$H:$H,TRUE)</f>
        <v>100</v>
      </c>
      <c r="L3">
        <f>_xlfn.RANK.EQ(tblClassificaNorm[[#This Row],[Totale]],tblClassificaNorm[Totale],0)</f>
        <v>1</v>
      </c>
      <c r="M3">
        <f>_xlfn.RANK.EQ(tblClassificaNorm[[#This Row],[SEP]],tblClassificaNorm[SEP],0)</f>
        <v>2</v>
      </c>
      <c r="N3">
        <f>SUM(tblScenaExportScheda[MaxSchede])</f>
        <v>0</v>
      </c>
      <c r="O3" s="92">
        <f>IF(tblClassificaNorm[[#This Row],[MaxTotScena]]=0,
  0,
  tblClassificaNorm[[#This Row],[Totale]]/tblClassificaNorm[[#This Row],[MaxTotScena]])</f>
        <v>0</v>
      </c>
      <c r="P3">
        <f>SUM(tblScenaExportScheda[MaxSep])</f>
        <v>0</v>
      </c>
    </row>
    <row r="4" spans="1:17">
      <c r="A4">
        <v>3</v>
      </c>
      <c r="B4" t="s">
        <v>632</v>
      </c>
      <c r="C4">
        <f>SUMIFS(APP_DATA!$D:$D,APP_DATA!$C:$C,tblClassificaNorm[[#This Row],[SquadraID]],APP_DATA!$I:$I,0)</f>
        <v>60</v>
      </c>
      <c r="D4">
        <f>SUMIFS(APP_DATA!$D:$D,APP_DATA!$C:$C,tblClassificaNorm[[#This Row],[SquadraID]],APP_DATA!$I:$I,1)</f>
        <v>39</v>
      </c>
      <c r="E4">
        <f>SUMIFS(APP_DATA!$D:$D,APP_DATA!$C:$C,tblClassificaNorm[[#This Row],[SquadraID]],APP_DATA!$I:$I,2)</f>
        <v>44</v>
      </c>
      <c r="F4">
        <f>SUMIFS(APP_DATA!$D:$D,APP_DATA!$C:$C,tblClassificaNorm[[#This Row],[SquadraID]],APP_DATA!$I:$I,3)</f>
        <v>47</v>
      </c>
      <c r="G4">
        <f>SUMIFS(APP_DATA!$D:$D,APP_DATA!$C:$C,tblClassificaNorm[[#This Row],[SquadraID]],APP_DATA!$I:$I,4)</f>
        <v>1</v>
      </c>
      <c r="H4">
        <f>SUMIFS(APP_DATA!$D:$D,APP_DATA!$C:$C,tblClassificaNorm[[#This Row],[SquadraID]],APP_DATA!$I:$I,5)</f>
        <v>0</v>
      </c>
      <c r="I4">
        <f>SUMIFS(APP_DATA!$D:$D,APP_DATA!$C:$C,tblClassificaNorm[[#This Row],[SquadraID]],APP_DATA!$I:$I,6)</f>
        <v>0</v>
      </c>
      <c r="J4">
        <f>SUMIF(APP_DATA!$C:$C,tblClassificaNorm[[#This Row],[SquadraID]],APP_DATA!$D:$D)</f>
        <v>191</v>
      </c>
      <c r="K4">
        <f>SUMIFS(APP_DATA!$D:$D,APP_DATA!$C:$C,tblClassificaNorm[[#This Row],[SquadraID]],APP_DATA!$H:$H,TRUE)</f>
        <v>51</v>
      </c>
      <c r="L4">
        <f>_xlfn.RANK.EQ(tblClassificaNorm[[#This Row],[Totale]],tblClassificaNorm[Totale],0)</f>
        <v>3</v>
      </c>
      <c r="M4">
        <f>_xlfn.RANK.EQ(tblClassificaNorm[[#This Row],[SEP]],tblClassificaNorm[SEP],0)</f>
        <v>3</v>
      </c>
      <c r="N4">
        <f>SUM(tblScenaExportScheda[MaxSchede])</f>
        <v>0</v>
      </c>
      <c r="O4" s="92">
        <f>IF(tblClassificaNorm[[#This Row],[MaxTotScena]]=0,
  0,
  tblClassificaNorm[[#This Row],[Totale]]/tblClassificaNorm[[#This Row],[MaxTotScena]])</f>
        <v>0</v>
      </c>
      <c r="P4">
        <f>SUM(tblScenaExportScheda[MaxSep])</f>
        <v>0</v>
      </c>
    </row>
    <row r="5" spans="1:17">
      <c r="A5">
        <v>4</v>
      </c>
      <c r="B5" t="s">
        <v>633</v>
      </c>
      <c r="C5">
        <f>SUMIFS(APP_DATA!$D:$D,APP_DATA!$C:$C,tblClassificaNorm[[#This Row],[SquadraID]],APP_DATA!$I:$I,0)</f>
        <v>0</v>
      </c>
      <c r="D5">
        <f>SUMIFS(APP_DATA!$D:$D,APP_DATA!$C:$C,tblClassificaNorm[[#This Row],[SquadraID]],APP_DATA!$I:$I,1)</f>
        <v>0</v>
      </c>
      <c r="E5">
        <f>SUMIFS(APP_DATA!$D:$D,APP_DATA!$C:$C,tblClassificaNorm[[#This Row],[SquadraID]],APP_DATA!$I:$I,2)</f>
        <v>0</v>
      </c>
      <c r="F5">
        <f>SUMIFS(APP_DATA!$D:$D,APP_DATA!$C:$C,tblClassificaNorm[[#This Row],[SquadraID]],APP_DATA!$I:$I,3)</f>
        <v>0</v>
      </c>
      <c r="G5">
        <f>SUMIFS(APP_DATA!$D:$D,APP_DATA!$C:$C,tblClassificaNorm[[#This Row],[SquadraID]],APP_DATA!$I:$I,4)</f>
        <v>0</v>
      </c>
      <c r="H5">
        <f>SUMIFS(APP_DATA!$D:$D,APP_DATA!$C:$C,tblClassificaNorm[[#This Row],[SquadraID]],APP_DATA!$I:$I,5)</f>
        <v>0</v>
      </c>
      <c r="I5">
        <f>SUMIFS(APP_DATA!$D:$D,APP_DATA!$C:$C,tblClassificaNorm[[#This Row],[SquadraID]],APP_DATA!$I:$I,6)</f>
        <v>0</v>
      </c>
      <c r="J5">
        <f>SUMIF(APP_DATA!$C:$C,tblClassificaNorm[[#This Row],[SquadraID]],APP_DATA!$D:$D)</f>
        <v>0</v>
      </c>
      <c r="K5">
        <f>SUMIFS(APP_DATA!$D:$D,APP_DATA!$C:$C,tblClassificaNorm[[#This Row],[SquadraID]],APP_DATA!$H:$H,TRUE)</f>
        <v>0</v>
      </c>
      <c r="L5">
        <f>_xlfn.RANK.EQ(tblClassificaNorm[[#This Row],[Totale]],tblClassificaNorm[Totale],0)</f>
        <v>4</v>
      </c>
      <c r="M5">
        <f>_xlfn.RANK.EQ(tblClassificaNorm[[#This Row],[SEP]],tblClassificaNorm[SEP],0)</f>
        <v>4</v>
      </c>
      <c r="N5">
        <f>SUM(tblScenaExportScheda[MaxSchede])</f>
        <v>0</v>
      </c>
      <c r="O5" s="92">
        <f>IF(tblClassificaNorm[[#This Row],[MaxTotScena]]=0,
  0,
  tblClassificaNorm[[#This Row],[Totale]]/tblClassificaNorm[[#This Row],[MaxTotScena]])</f>
        <v>0</v>
      </c>
      <c r="P5">
        <f>SUM(tblScenaExportScheda[MaxSep])</f>
        <v>0</v>
      </c>
    </row>
    <row r="6" spans="1:17">
      <c r="A6">
        <v>5</v>
      </c>
      <c r="B6" t="s">
        <v>634</v>
      </c>
      <c r="C6">
        <f>SUMIFS(APP_DATA!$D:$D,APP_DATA!$C:$C,tblClassificaNorm[[#This Row],[SquadraID]],APP_DATA!$I:$I,0)</f>
        <v>0</v>
      </c>
      <c r="D6">
        <f>SUMIFS(APP_DATA!$D:$D,APP_DATA!$C:$C,tblClassificaNorm[[#This Row],[SquadraID]],APP_DATA!$I:$I,1)</f>
        <v>0</v>
      </c>
      <c r="E6">
        <f>SUMIFS(APP_DATA!$D:$D,APP_DATA!$C:$C,tblClassificaNorm[[#This Row],[SquadraID]],APP_DATA!$I:$I,2)</f>
        <v>0</v>
      </c>
      <c r="F6">
        <f>SUMIFS(APP_DATA!$D:$D,APP_DATA!$C:$C,tblClassificaNorm[[#This Row],[SquadraID]],APP_DATA!$I:$I,3)</f>
        <v>0</v>
      </c>
      <c r="G6">
        <f>SUMIFS(APP_DATA!$D:$D,APP_DATA!$C:$C,tblClassificaNorm[[#This Row],[SquadraID]],APP_DATA!$I:$I,4)</f>
        <v>0</v>
      </c>
      <c r="H6">
        <f>SUMIFS(APP_DATA!$D:$D,APP_DATA!$C:$C,tblClassificaNorm[[#This Row],[SquadraID]],APP_DATA!$I:$I,5)</f>
        <v>0</v>
      </c>
      <c r="I6">
        <f>SUMIFS(APP_DATA!$D:$D,APP_DATA!$C:$C,tblClassificaNorm[[#This Row],[SquadraID]],APP_DATA!$I:$I,6)</f>
        <v>0</v>
      </c>
      <c r="J6">
        <f>SUMIF(APP_DATA!$C:$C,tblClassificaNorm[[#This Row],[SquadraID]],APP_DATA!$D:$D)</f>
        <v>0</v>
      </c>
      <c r="K6">
        <f>SUMIFS(APP_DATA!$D:$D,APP_DATA!$C:$C,tblClassificaNorm[[#This Row],[SquadraID]],APP_DATA!$H:$H,TRUE)</f>
        <v>0</v>
      </c>
      <c r="L6">
        <f>_xlfn.RANK.EQ(tblClassificaNorm[[#This Row],[Totale]],tblClassificaNorm[Totale],0)</f>
        <v>4</v>
      </c>
      <c r="M6">
        <f>_xlfn.RANK.EQ(tblClassificaNorm[[#This Row],[SEP]],tblClassificaNorm[SEP],0)</f>
        <v>4</v>
      </c>
      <c r="N6">
        <f>SUM(tblScenaExportScheda[MaxSchede])</f>
        <v>0</v>
      </c>
      <c r="O6" s="92">
        <f>IF(tblClassificaNorm[[#This Row],[MaxTotScena]]=0,
  0,
  tblClassificaNorm[[#This Row],[Totale]]/tblClassificaNorm[[#This Row],[MaxTotScena]])</f>
        <v>0</v>
      </c>
      <c r="P6">
        <f>SUM(tblScenaExportScheda[MaxSep])</f>
        <v>0</v>
      </c>
    </row>
    <row r="7" spans="1:17">
      <c r="O7" s="92"/>
    </row>
    <row r="13" spans="1:17">
      <c r="B13" s="22"/>
      <c r="I13" s="22"/>
    </row>
    <row r="14" spans="1:17">
      <c r="B14" s="22"/>
    </row>
    <row r="15" spans="1:17">
      <c r="B15" s="22"/>
    </row>
    <row r="16" spans="1:17">
      <c r="B16" s="22"/>
    </row>
    <row r="17" spans="2:2">
      <c r="B17" s="22"/>
    </row>
    <row r="18" spans="2:2">
      <c r="B18" s="2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3A4C-BCBA-4501-88F8-63C5B9808C1B}">
  <dimension ref="A1:O28"/>
  <sheetViews>
    <sheetView workbookViewId="0">
      <selection activeCell="J1" sqref="J1"/>
    </sheetView>
  </sheetViews>
  <sheetFormatPr defaultColWidth="8.85546875" defaultRowHeight="15"/>
  <cols>
    <col min="1" max="1" width="13.140625" bestFit="1" customWidth="1"/>
    <col min="2" max="2" width="16.42578125" bestFit="1" customWidth="1"/>
    <col min="3" max="3" width="24.42578125" bestFit="1" customWidth="1"/>
    <col min="4" max="4" width="9.42578125" bestFit="1" customWidth="1"/>
    <col min="5" max="5" width="3" bestFit="1" customWidth="1"/>
    <col min="6" max="6" width="4.140625" bestFit="1" customWidth="1"/>
    <col min="7" max="8" width="24.42578125" customWidth="1"/>
    <col min="9" max="9" width="24.85546875" bestFit="1" customWidth="1"/>
    <col min="10" max="10" width="18.42578125" customWidth="1"/>
    <col min="11" max="11" width="12.42578125" customWidth="1"/>
  </cols>
  <sheetData>
    <row r="1" spans="1:15" ht="15" customHeight="1">
      <c r="A1" t="s">
        <v>0</v>
      </c>
      <c r="B1" t="s">
        <v>658</v>
      </c>
      <c r="C1" t="s">
        <v>2</v>
      </c>
      <c r="H1">
        <f>INDEX(tblValutazioneAttiva[[#All],[SquadraCorrente]],2)</f>
        <v>3</v>
      </c>
      <c r="I1" t="str">
        <f>INDEX(tblValutazioneAttiva[[#All],[SCENA]],2)</f>
        <v>A</v>
      </c>
      <c r="J1" t="str">
        <f>INDEX(tblValutazioneAttiva[[#All],[TITOLO SCENA]],2)</f>
        <v>Una Scuola Stupefacente</v>
      </c>
    </row>
    <row r="2" spans="1:15">
      <c r="A2" t="s">
        <v>4</v>
      </c>
      <c r="B2">
        <f t="array" ref="B2">SquadraAttiva</f>
        <v>3</v>
      </c>
      <c r="C2" t="str">
        <f t="array" ref="C2">TitoloScenaAttivo</f>
        <v>Una Scuola Stupefacente</v>
      </c>
    </row>
    <row r="7" spans="1:15">
      <c r="A7" t="s">
        <v>659</v>
      </c>
    </row>
    <row r="9" spans="1:15">
      <c r="A9" t="s">
        <v>660</v>
      </c>
      <c r="B9" t="s">
        <v>661</v>
      </c>
      <c r="C9" t="s">
        <v>662</v>
      </c>
      <c r="D9" t="s">
        <v>663</v>
      </c>
      <c r="E9" t="s">
        <v>664</v>
      </c>
      <c r="F9" t="s">
        <v>665</v>
      </c>
      <c r="G9" t="s">
        <v>666</v>
      </c>
      <c r="H9" t="s">
        <v>667</v>
      </c>
      <c r="I9" t="s">
        <v>668</v>
      </c>
      <c r="J9" t="s">
        <v>669</v>
      </c>
      <c r="K9" t="s">
        <v>656</v>
      </c>
      <c r="L9" t="s">
        <v>653</v>
      </c>
      <c r="M9" t="s">
        <v>670</v>
      </c>
      <c r="O9" t="s">
        <v>280</v>
      </c>
    </row>
    <row r="10" spans="1:15" ht="15" customHeight="1">
      <c r="A10" t="s">
        <v>24</v>
      </c>
      <c r="B10" t="s">
        <v>671</v>
      </c>
      <c r="C10" t="s">
        <v>24</v>
      </c>
      <c r="H10" s="10" t="str">
        <f t="array" ref="H10">ScenaAttiva&amp;TEXT(SquadraAttiva,"00")&amp;TEXT(B10,"00")</f>
        <v>A03M</v>
      </c>
      <c r="I10">
        <f>SUM('Calcolo Master'!H2:H41)</f>
        <v>120</v>
      </c>
      <c r="J10">
        <f>'Calcolo Master'!J43</f>
        <v>0</v>
      </c>
      <c r="K10" s="14">
        <f>J10/I10</f>
        <v>0</v>
      </c>
      <c r="L10">
        <f>'Calcolo Master'!AA14</f>
        <v>35</v>
      </c>
      <c r="M10">
        <f>'Calcolo Master'!J44</f>
        <v>0</v>
      </c>
    </row>
    <row r="11" spans="1:15" ht="15" customHeight="1">
      <c r="A11" t="s">
        <v>672</v>
      </c>
      <c r="B11">
        <v>1</v>
      </c>
      <c r="C11" t="s">
        <v>673</v>
      </c>
      <c r="D11" t="s">
        <v>674</v>
      </c>
      <c r="E11">
        <v>26</v>
      </c>
      <c r="F11">
        <v>140</v>
      </c>
      <c r="G11" t="s">
        <v>675</v>
      </c>
      <c r="H11" s="10" t="str">
        <f t="array" ref="H11">ScenaAttiva&amp;TEXT(SquadraAttiva,"00")&amp;TEXT(B11,"00")</f>
        <v>A0301</v>
      </c>
      <c r="I11">
        <f>SUM('Calcolo PBLS'!H2:H40)</f>
        <v>109</v>
      </c>
      <c r="J11">
        <f>'Calcolo PBLS'!J42</f>
        <v>0</v>
      </c>
      <c r="K11" s="14">
        <f>J11/I11</f>
        <v>0</v>
      </c>
      <c r="L11">
        <f>'Calcolo PBLS'!AA14</f>
        <v>0</v>
      </c>
      <c r="M11">
        <f>'Calcolo PBLS'!J43</f>
        <v>0</v>
      </c>
    </row>
    <row r="12" spans="1:15" ht="15" customHeight="1">
      <c r="A12" t="s">
        <v>676</v>
      </c>
      <c r="B12">
        <v>2</v>
      </c>
      <c r="C12" t="s">
        <v>677</v>
      </c>
      <c r="D12" t="s">
        <v>4</v>
      </c>
      <c r="E12">
        <v>26</v>
      </c>
      <c r="F12">
        <v>110</v>
      </c>
      <c r="G12" t="s">
        <v>678</v>
      </c>
      <c r="H12" s="10" t="str">
        <f t="array" ref="H12">ScenaAttiva&amp;TEXT(SquadraAttiva,"00")&amp;TEXT(B12,"00")</f>
        <v>A0302</v>
      </c>
      <c r="I12">
        <f>SUM('Calcolo TC'!H2:H40)</f>
        <v>106</v>
      </c>
      <c r="J12">
        <f>'Calcolo TC'!J42</f>
        <v>0</v>
      </c>
      <c r="K12" s="14">
        <f>J12/I12</f>
        <v>0</v>
      </c>
      <c r="L12">
        <f>'Calcolo TC'!AA14</f>
        <v>0</v>
      </c>
      <c r="M12">
        <f>'Calcolo TC'!J43</f>
        <v>0</v>
      </c>
    </row>
    <row r="13" spans="1:15" ht="15" customHeight="1">
      <c r="A13" t="s">
        <v>679</v>
      </c>
      <c r="B13">
        <v>3</v>
      </c>
      <c r="C13" t="s">
        <v>680</v>
      </c>
      <c r="D13" t="s">
        <v>4</v>
      </c>
      <c r="E13">
        <v>22</v>
      </c>
      <c r="F13">
        <v>105</v>
      </c>
      <c r="G13" t="s">
        <v>681</v>
      </c>
      <c r="H13" s="10" t="str">
        <f t="array" ref="H13">ScenaAttiva&amp;TEXT(SquadraAttiva,"00")&amp;TEXT(B13,"00")</f>
        <v>A0303</v>
      </c>
      <c r="I13">
        <f>SUM('Calcolo Overdose'!H2:H40)</f>
        <v>105</v>
      </c>
      <c r="J13">
        <f>'Calcolo Overdose'!J42</f>
        <v>0</v>
      </c>
      <c r="K13" s="14">
        <f>J13/I13</f>
        <v>0</v>
      </c>
      <c r="L13">
        <f>'Calcolo Overdose'!AA14</f>
        <v>0</v>
      </c>
      <c r="M13">
        <f>'Calcolo Overdose'!J43</f>
        <v>0</v>
      </c>
    </row>
    <row r="14" spans="1:15" ht="15" customHeight="1">
      <c r="A14" t="s">
        <v>682</v>
      </c>
      <c r="B14">
        <v>4</v>
      </c>
      <c r="C14" t="s">
        <v>683</v>
      </c>
      <c r="D14" t="s">
        <v>4</v>
      </c>
      <c r="E14">
        <v>20</v>
      </c>
      <c r="F14">
        <v>90</v>
      </c>
      <c r="G14" t="s">
        <v>678</v>
      </c>
      <c r="H14" s="10" t="str">
        <f t="array" ref="H14">ScenaAttiva&amp;TEXT(SquadraAttiva,"00")&amp;TEXT(B14,"00")</f>
        <v>A0304</v>
      </c>
      <c r="I14">
        <f>SUM('Calcolo Asma'!H2:H40)</f>
        <v>98</v>
      </c>
      <c r="J14">
        <f>'Calcolo Asma'!J42</f>
        <v>0</v>
      </c>
      <c r="K14" s="14">
        <f>J14/I14</f>
        <v>0</v>
      </c>
      <c r="L14">
        <f>'Calcolo Asma'!AA14</f>
        <v>0</v>
      </c>
      <c r="M14">
        <f>'Calcolo Asma'!J43</f>
        <v>0</v>
      </c>
    </row>
    <row r="15" spans="1:15" ht="15" customHeight="1">
      <c r="H15" s="10"/>
      <c r="K15" s="14"/>
    </row>
    <row r="18" spans="9:11">
      <c r="I18" t="s">
        <v>684</v>
      </c>
      <c r="J18" t="s">
        <v>685</v>
      </c>
      <c r="K18" t="s">
        <v>656</v>
      </c>
    </row>
    <row r="19" spans="9:11">
      <c r="I19">
        <f>SUM(I10:I14)</f>
        <v>538</v>
      </c>
      <c r="J19">
        <f>SUM(J10:J14)</f>
        <v>0</v>
      </c>
      <c r="K19" s="14">
        <f>J19/I19</f>
        <v>0</v>
      </c>
    </row>
    <row r="21" spans="9:11">
      <c r="I21" t="s">
        <v>686</v>
      </c>
      <c r="J21" t="s">
        <v>670</v>
      </c>
      <c r="K21" t="s">
        <v>656</v>
      </c>
    </row>
    <row r="22" spans="9:11">
      <c r="I22">
        <f>SUM(L10:L14)</f>
        <v>35</v>
      </c>
      <c r="J22">
        <f>SUM(M10:M14)</f>
        <v>0</v>
      </c>
      <c r="K22" s="14">
        <f>J22/I22</f>
        <v>0</v>
      </c>
    </row>
    <row r="24" spans="9:11">
      <c r="I24" t="s">
        <v>687</v>
      </c>
      <c r="J24" t="s">
        <v>688</v>
      </c>
      <c r="K24" t="s">
        <v>656</v>
      </c>
    </row>
    <row r="25" spans="9:11">
      <c r="I25">
        <v>0</v>
      </c>
      <c r="J25">
        <v>0</v>
      </c>
      <c r="K25" s="14">
        <f>IF(I25=0,0,J25/I25)</f>
        <v>0</v>
      </c>
    </row>
    <row r="27" spans="9:11">
      <c r="I27" t="s">
        <v>689</v>
      </c>
      <c r="J27" t="s">
        <v>690</v>
      </c>
      <c r="K27" t="s">
        <v>656</v>
      </c>
    </row>
    <row r="28" spans="9:11">
      <c r="I28">
        <f>'Calcolo Master'!AA11</f>
        <v>120</v>
      </c>
      <c r="J28">
        <f>'Calcolo Master'!J43</f>
        <v>0</v>
      </c>
      <c r="K28" s="14">
        <f>tblLeader19[[#This Row],[Leader Realizzato]]/tblLeader19[[#This Row],[Leader Massimo]]</f>
        <v>0</v>
      </c>
    </row>
  </sheetData>
  <pageMargins left="0.7" right="0.7" top="0.75" bottom="0.75" header="0.3" footer="0.3"/>
  <pageSetup paperSize="9" orientation="portrait" horizontalDpi="0" verticalDpi="0"/>
  <tableParts count="5">
    <tablePart r:id="rId1"/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"/>
  <sheetViews>
    <sheetView workbookViewId="0">
      <selection activeCell="G11" sqref="G11"/>
    </sheetView>
  </sheetViews>
  <sheetFormatPr defaultColWidth="8.85546875" defaultRowHeight="15"/>
  <cols>
    <col min="1" max="1" width="14.5703125" bestFit="1" customWidth="1"/>
    <col min="2" max="2" width="16.42578125" bestFit="1" customWidth="1"/>
    <col min="3" max="3" width="18.7109375" bestFit="1" customWidth="1"/>
    <col min="4" max="4" width="21.5703125" bestFit="1" customWidth="1"/>
    <col min="5" max="5" width="13.28515625" bestFit="1" customWidth="1"/>
    <col min="6" max="6" width="13.5703125" bestFit="1" customWidth="1"/>
    <col min="7" max="7" width="13.85546875" bestFit="1" customWidth="1"/>
    <col min="8" max="8" width="13.5703125" bestFit="1" customWidth="1"/>
    <col min="9" max="9" width="13.85546875" bestFit="1" customWidth="1"/>
    <col min="10" max="10" width="18.42578125" customWidth="1"/>
    <col min="11" max="11" width="17.7109375" customWidth="1"/>
    <col min="12" max="12" width="15.85546875" bestFit="1" customWidth="1"/>
  </cols>
  <sheetData>
    <row r="1" spans="1:15" ht="16.5">
      <c r="A1" t="s">
        <v>15</v>
      </c>
      <c r="B1" t="s">
        <v>691</v>
      </c>
      <c r="C1" t="s">
        <v>692</v>
      </c>
      <c r="D1" t="s">
        <v>693</v>
      </c>
      <c r="N1" s="31" t="s">
        <v>694</v>
      </c>
      <c r="O1" s="31" t="s">
        <v>695</v>
      </c>
    </row>
    <row r="2" spans="1:15">
      <c r="N2" t="str">
        <f>CONTROLLO!B1</f>
        <v>SquadraCorrente</v>
      </c>
    </row>
    <row r="5" spans="1:15" ht="16.5">
      <c r="A5" s="31" t="s">
        <v>696</v>
      </c>
      <c r="B5" s="31" t="s">
        <v>697</v>
      </c>
      <c r="C5" s="31" t="s">
        <v>662</v>
      </c>
      <c r="D5" t="s">
        <v>664</v>
      </c>
      <c r="E5" t="s">
        <v>665</v>
      </c>
      <c r="F5" s="31" t="s">
        <v>663</v>
      </c>
      <c r="G5" s="31" t="s">
        <v>698</v>
      </c>
      <c r="H5" s="31" t="s">
        <v>280</v>
      </c>
      <c r="I5" s="31" t="s">
        <v>699</v>
      </c>
    </row>
    <row r="6" spans="1:15">
      <c r="A6" t="s">
        <v>24</v>
      </c>
      <c r="B6" t="s">
        <v>671</v>
      </c>
      <c r="C6" t="s">
        <v>24</v>
      </c>
      <c r="I6" t="b">
        <v>1</v>
      </c>
    </row>
    <row r="7" spans="1:15">
      <c r="A7" t="s">
        <v>672</v>
      </c>
      <c r="B7">
        <v>1</v>
      </c>
      <c r="C7" t="s">
        <v>25</v>
      </c>
      <c r="F7" t="s">
        <v>700</v>
      </c>
      <c r="I7" t="b">
        <v>1</v>
      </c>
    </row>
    <row r="8" spans="1:15">
      <c r="A8" t="s">
        <v>676</v>
      </c>
      <c r="B8">
        <v>2</v>
      </c>
      <c r="C8" t="s">
        <v>26</v>
      </c>
      <c r="D8">
        <v>10</v>
      </c>
      <c r="E8">
        <v>60</v>
      </c>
      <c r="F8" t="s">
        <v>701</v>
      </c>
      <c r="G8" t="s">
        <v>678</v>
      </c>
      <c r="I8" t="b">
        <v>1</v>
      </c>
    </row>
    <row r="9" spans="1:15">
      <c r="A9" t="s">
        <v>679</v>
      </c>
      <c r="B9">
        <v>3</v>
      </c>
      <c r="C9" t="s">
        <v>27</v>
      </c>
      <c r="D9">
        <v>26</v>
      </c>
      <c r="E9">
        <v>124</v>
      </c>
      <c r="F9" t="s">
        <v>702</v>
      </c>
      <c r="G9" t="s">
        <v>678</v>
      </c>
      <c r="I9" t="b">
        <v>1</v>
      </c>
    </row>
    <row r="10" spans="1:15">
      <c r="A10" t="s">
        <v>682</v>
      </c>
      <c r="B10">
        <v>4</v>
      </c>
      <c r="C10" t="s">
        <v>28</v>
      </c>
      <c r="D10">
        <v>28</v>
      </c>
      <c r="E10">
        <v>110</v>
      </c>
      <c r="F10" t="s">
        <v>4</v>
      </c>
      <c r="G10" t="s">
        <v>678</v>
      </c>
      <c r="I10" t="b">
        <v>1</v>
      </c>
    </row>
    <row r="11" spans="1:15">
      <c r="A11" t="s">
        <v>703</v>
      </c>
      <c r="B11">
        <v>5</v>
      </c>
      <c r="C11" t="s">
        <v>704</v>
      </c>
      <c r="F11" t="s">
        <v>4</v>
      </c>
      <c r="I11" t="b">
        <v>1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1"/>
  <dimension ref="A1:AG44"/>
  <sheetViews>
    <sheetView topLeftCell="A19" workbookViewId="0">
      <selection activeCell="F34" sqref="F34"/>
    </sheetView>
  </sheetViews>
  <sheetFormatPr defaultColWidth="8.85546875" defaultRowHeight="15" customHeight="1" outlineLevelCol="1"/>
  <cols>
    <col min="1" max="1" width="11.85546875" bestFit="1" customWidth="1"/>
    <col min="2" max="2" width="4.5703125" customWidth="1"/>
    <col min="3" max="3" width="14" customWidth="1"/>
    <col min="4" max="4" width="3.7109375" customWidth="1"/>
    <col min="6" max="6" width="50.5703125" bestFit="1" customWidth="1"/>
    <col min="7" max="7" width="16" customWidth="1"/>
    <col min="8" max="8" width="4.42578125" customWidth="1" outlineLevel="1"/>
    <col min="9" max="10" width="4.42578125" customWidth="1"/>
    <col min="11" max="11" width="4.42578125" customWidth="1" outlineLevel="1"/>
    <col min="12" max="13" width="4.42578125" customWidth="1"/>
    <col min="14" max="14" width="4.42578125" customWidth="1" outlineLevel="1"/>
    <col min="15" max="16" width="4.42578125" customWidth="1"/>
    <col min="17" max="17" width="4.42578125" customWidth="1" outlineLevel="1"/>
    <col min="18" max="19" width="4.42578125" customWidth="1"/>
    <col min="20" max="20" width="4.42578125" customWidth="1" outlineLevel="1"/>
    <col min="21" max="22" width="4.42578125" customWidth="1"/>
    <col min="23" max="23" width="8.85546875" customWidth="1" outlineLevel="1"/>
    <col min="26" max="26" width="12.42578125" customWidth="1"/>
    <col min="27" max="27" width="9.42578125" bestFit="1" customWidth="1"/>
    <col min="28" max="28" width="12.42578125" customWidth="1"/>
    <col min="29" max="29" width="9.42578125" bestFit="1" customWidth="1"/>
    <col min="30" max="30" width="12.42578125" customWidth="1"/>
  </cols>
  <sheetData>
    <row r="1" spans="1:33" thickBot="1">
      <c r="B1" t="s">
        <v>705</v>
      </c>
      <c r="C1" t="s">
        <v>706</v>
      </c>
      <c r="D1" t="s">
        <v>707</v>
      </c>
      <c r="E1" t="s">
        <v>653</v>
      </c>
      <c r="G1" t="s">
        <v>708</v>
      </c>
      <c r="H1" s="127" t="s">
        <v>709</v>
      </c>
      <c r="I1" s="144"/>
      <c r="J1" s="145"/>
      <c r="K1" s="126" t="s">
        <v>710</v>
      </c>
      <c r="L1" s="144"/>
      <c r="M1" s="145"/>
      <c r="N1" s="126" t="s">
        <v>711</v>
      </c>
      <c r="O1" s="144"/>
      <c r="P1" s="145"/>
      <c r="Q1" s="126" t="s">
        <v>712</v>
      </c>
      <c r="R1" s="144"/>
      <c r="S1" s="145"/>
      <c r="T1" s="126" t="s">
        <v>713</v>
      </c>
      <c r="U1" s="144"/>
      <c r="V1" s="145"/>
      <c r="Y1" t="s">
        <v>653</v>
      </c>
      <c r="AG1" t="s">
        <v>714</v>
      </c>
    </row>
    <row r="2" spans="1:33" ht="15" customHeight="1">
      <c r="A2" t="str">
        <f>IF(G2&lt;&gt;"",ScenaAttiva&amp;"_"&amp;AB$4&amp;TEXT(COUNTIF($G2:G$3,"&lt;&gt;"),"0000"),"")</f>
        <v/>
      </c>
      <c r="B2" t="str">
        <f>IF(A2&lt;&gt;"",SquadraAttiva,"")</f>
        <v/>
      </c>
      <c r="C2" t="str">
        <f>IF(A2&lt;&gt;"",TEXT(B2,"0")&amp;"-"&amp;TRIM(A2),"")</f>
        <v/>
      </c>
      <c r="D2" t="str">
        <f>IFERROR(_xlfn.XLOOKUP(C2,tblRisposte[idValutazione],tblRisposte[Valore],""),"")</f>
        <v/>
      </c>
      <c r="F2" s="76" t="s">
        <v>52</v>
      </c>
      <c r="I2" s="18"/>
      <c r="J2" s="1"/>
      <c r="K2" s="2"/>
      <c r="L2" s="18"/>
      <c r="M2" s="1"/>
      <c r="N2" s="2"/>
      <c r="O2" s="18"/>
      <c r="P2" s="1"/>
      <c r="Q2" s="2"/>
      <c r="R2" s="18"/>
      <c r="S2" s="1"/>
      <c r="T2" s="2"/>
      <c r="U2" s="18"/>
      <c r="V2" s="1"/>
      <c r="Z2" s="4" t="s">
        <v>715</v>
      </c>
      <c r="AA2" s="5" t="str">
        <f t="array" ref="AA2">ScenaAttiva</f>
        <v>A</v>
      </c>
      <c r="AB2" s="5" t="s">
        <v>278</v>
      </c>
      <c r="AC2" s="5">
        <f t="array" ref="AC2">SquadraAttiva</f>
        <v>3</v>
      </c>
      <c r="AD2" s="5" t="s">
        <v>661</v>
      </c>
      <c r="AE2" s="6" t="s">
        <v>671</v>
      </c>
    </row>
    <row r="3" spans="1:33" ht="15" customHeight="1">
      <c r="A3" t="str">
        <f>IF(G3&lt;&gt;"",ScenaAttiva&amp;"_"&amp;AB$4&amp;TEXT(COUNTIF($G3:G$3,"&lt;&gt;"),"0000"),"")</f>
        <v>A_MAS0001</v>
      </c>
      <c r="B3">
        <f>IF(A3&lt;&gt;"",SquadraAttiva,"")</f>
        <v>3</v>
      </c>
      <c r="C3" t="str">
        <f t="shared" ref="C3:C33" si="0">IF(A3&lt;&gt;"",TEXT(B3,"0")&amp;"-"&amp;TRIM(A3),"")</f>
        <v>3-A_MAS0001</v>
      </c>
      <c r="D3">
        <f>IFERROR(_xlfn.XLOOKUP(C3,tblRisposte[idValutazione],tblRisposte[Valore],""),"")</f>
        <v>1</v>
      </c>
      <c r="F3" s="77" t="s">
        <v>55</v>
      </c>
      <c r="G3" t="s">
        <v>35</v>
      </c>
      <c r="H3" s="22" cm="1">
        <f t="array" ref="H3">_xlfn.LET(_xlpm.v,_xlfn.XLOOKUP(G3,tblValutazioni[TipoValutazione],tblValutazioni[MB],""),IF(_xlpm.v="","",_xlpm.v))</f>
        <v>5</v>
      </c>
      <c r="I3" s="20">
        <f>IF(_xlfn.XLOOKUP($A3, tblRisposte[ItemKey],tblRisposte[Valore],"")="Molto bene","X",0)</f>
        <v>0</v>
      </c>
      <c r="J3" s="1">
        <f>IF((I3="X"),H3,0)</f>
        <v>0</v>
      </c>
      <c r="K3" s="2" cm="1">
        <f t="array" ref="K3">_xlfn.LET(_xlpm.v,_xlfn.XLOOKUP(G3,tblValutazioni[TipoValutazione],tblValutazioni[BE],""),IF(_xlpm.v="","",_xlpm.v))</f>
        <v>4</v>
      </c>
      <c r="L3" s="18">
        <f>IF(_xlfn.XLOOKUP($A3, tblRisposte[ItemKey], tblRisposte[Valore], "")="Bene",
  "X",
  0)</f>
        <v>0</v>
      </c>
      <c r="M3" s="1">
        <f>IF((L3="X"),K3,0)</f>
        <v>0</v>
      </c>
      <c r="N3" s="2" cm="1">
        <f t="array" ref="N3">_xlfn.LET(_xlpm.v,_xlfn.XLOOKUP(G3,tblValutazioni[TipoValutazione],tblValutazioni[SU],""),IF(_xlpm.v="","",_xlpm.v))</f>
        <v>2</v>
      </c>
      <c r="O3" s="20">
        <f>IF(_xlfn.XLOOKUP($A3, tblRisposte[ItemKey], tblRisposte[Valore], "")="Soddisfacente","X",0)</f>
        <v>0</v>
      </c>
      <c r="P3" s="1">
        <f>IF((O3="X"),N3,0)</f>
        <v>0</v>
      </c>
      <c r="Q3" s="2" cm="1">
        <f t="array" ref="Q3">_xlfn.LET(_xlpm.v,_xlfn.XLOOKUP(G3,tblValutazioni[TipoValutazione],tblValutazioni[IN],""),IF(_xlpm.v="","",_xlpm.v))</f>
        <v>1</v>
      </c>
      <c r="R3" s="18">
        <f>IF(_xlfn.XLOOKUP($A3, tblRisposte[ItemKey], tblRisposte[Valore], "")="Insufficiente","X",0)</f>
        <v>0</v>
      </c>
      <c r="S3" s="1">
        <f>IF((R3="X"),Q3,0)</f>
        <v>0</v>
      </c>
      <c r="T3" s="2" cm="1">
        <f t="array" ref="T3">_xlfn.LET(_xlpm.v,_xlfn.XLOOKUP(G3,tblValutazioni[TipoValutazione],tblValutazioni[NE],""),IF(_xlpm.v="","",_xlpm.v))</f>
        <v>0</v>
      </c>
      <c r="U3" s="18">
        <f>IF(_xlfn.XLOOKUP($A3, tblRisposte[ItemKey], tblRisposte[Valore], "")="Non eseguito","X",0)</f>
        <v>0</v>
      </c>
      <c r="V3" s="1">
        <f>IF((U3="X"),T3,0)</f>
        <v>0</v>
      </c>
      <c r="W3">
        <f>COUNTIF(I3,"x")+COUNTIF(L3,"x")+COUNTIF(O3,"x")+COUNTIF(R3,"x")+COUNTIF(U3,"x")</f>
        <v>0</v>
      </c>
      <c r="X3" t="str">
        <f>IF(COUNTIF(I3:U3,"X")=1,"OK","errore")</f>
        <v>errore</v>
      </c>
      <c r="Y3" t="str">
        <f>IF(E3="SEP",IF(I3="x",H3,IF(L3="X",K3,IF(O3="x",N3,IF(R3="X",Q3,IF(U3="X",T3,""))))),"")</f>
        <v/>
      </c>
      <c r="Z3" s="7"/>
      <c r="AE3" s="8"/>
      <c r="AG3">
        <v>5</v>
      </c>
    </row>
    <row r="4" spans="1:33" ht="15" customHeight="1">
      <c r="A4" t="str">
        <f>IF(G4&lt;&gt;"",ScenaAttiva&amp;"_"&amp;AB$4&amp;TEXT(COUNTIF($G$3:G4,"&lt;&gt;"),"0000"),"")</f>
        <v>A_MAS0002</v>
      </c>
      <c r="B4">
        <f>IF(A4&lt;&gt;"",SquadraAttiva,"")</f>
        <v>3</v>
      </c>
      <c r="C4" t="str">
        <f t="shared" ref="C4:C41" si="1">IF(A4&lt;&gt;"",TEXT(B4,"0")&amp;"-"&amp;TRIM(A4),"")</f>
        <v>3-A_MAS0002</v>
      </c>
      <c r="D4">
        <f>IFERROR(_xlfn.XLOOKUP(C4,tblRisposte[idValutazione],tblRisposte[Valore],""),"")</f>
        <v>3</v>
      </c>
      <c r="F4" s="77" t="s">
        <v>57</v>
      </c>
      <c r="G4" t="s">
        <v>36</v>
      </c>
      <c r="H4" s="22" cm="1">
        <f t="array" ref="H4">_xlfn.LET(_xlpm.v,_xlfn.XLOOKUP(G4,tblValutazioni[TipoValutazione],tblValutazioni[MB],""),IF(_xlpm.v="","",_xlpm.v))</f>
        <v>3</v>
      </c>
      <c r="I4" s="20">
        <f>IF(_xlfn.XLOOKUP($A4, tblRisposte[ItemKey],tblRisposte[Valore],"")="Molto bene","X",0)</f>
        <v>0</v>
      </c>
      <c r="J4" s="1">
        <f>IF((I4="X"),H4,0)</f>
        <v>0</v>
      </c>
      <c r="K4" s="2" t="str" cm="1">
        <f t="array" ref="K4">_xlfn.LET(_xlpm.v,_xlfn.XLOOKUP(G4,tblValutazioni[TipoValutazione],tblValutazioni[BE],""),IF(_xlpm.v="","",_xlpm.v))</f>
        <v/>
      </c>
      <c r="L4" s="18">
        <f>IF(_xlfn.XLOOKUP($A4, tblRisposte[ItemKey], tblRisposte[Valore], "")="Bene",
  "X",
  0)</f>
        <v>0</v>
      </c>
      <c r="M4" s="1">
        <f>IF((L4="X"),K4,0)</f>
        <v>0</v>
      </c>
      <c r="N4" s="2" cm="1">
        <f t="array" ref="N4">_xlfn.LET(_xlpm.v,_xlfn.XLOOKUP(G4,tblValutazioni[TipoValutazione],tblValutazioni[SU],""),IF(_xlpm.v="","",_xlpm.v))</f>
        <v>1</v>
      </c>
      <c r="O4" s="20">
        <f>IF(_xlfn.XLOOKUP($A4, tblRisposte[ItemKey], tblRisposte[Valore], "")="Soddisfacente","X",0)</f>
        <v>0</v>
      </c>
      <c r="P4" s="1">
        <f>IF((O4="X"),N4,0)</f>
        <v>0</v>
      </c>
      <c r="Q4" s="2" t="str" cm="1">
        <f t="array" ref="Q4">_xlfn.LET(_xlpm.v,_xlfn.XLOOKUP(G4,tblValutazioni[TipoValutazione],tblValutazioni[IN],""),IF(_xlpm.v="","",_xlpm.v))</f>
        <v/>
      </c>
      <c r="R4" s="18">
        <f>IF(_xlfn.XLOOKUP($A4, tblRisposte[ItemKey], tblRisposte[Valore], "")="Insufficiente","X",0)</f>
        <v>0</v>
      </c>
      <c r="S4" s="1">
        <f>IF((R4="X"),Q4,0)</f>
        <v>0</v>
      </c>
      <c r="T4" s="2" cm="1">
        <f t="array" ref="T4">_xlfn.LET(_xlpm.v,_xlfn.XLOOKUP(G4,tblValutazioni[TipoValutazione],tblValutazioni[NE],""),IF(_xlpm.v="","",_xlpm.v))</f>
        <v>0</v>
      </c>
      <c r="U4" s="18">
        <f>IF(_xlfn.XLOOKUP($A4, tblRisposte[ItemKey], tblRisposte[Valore], "")="Non eseguito","X",0)</f>
        <v>0</v>
      </c>
      <c r="V4" s="1">
        <f>IF((U4="X"),T4,0)</f>
        <v>0</v>
      </c>
      <c r="W4">
        <f>COUNTIF(I4,"x")+COUNTIF(L4,"x")+COUNTIF(O4,"x")+COUNTIF(R4,"x")+COUNTIF(U4,"x")</f>
        <v>0</v>
      </c>
      <c r="X4" t="str">
        <f>IF(COUNTIF(I4:U4,"X")=1,"OK","errore")</f>
        <v>errore</v>
      </c>
      <c r="Y4" t="str">
        <f>IF(E4="SEP",IF(I4="x",H4,IF(L4="X",K4,IF(O4="x",N4,IF(R4="X",Q4,IF(U4="X",T4,""))))),"")</f>
        <v/>
      </c>
      <c r="Z4" s="9" t="s">
        <v>662</v>
      </c>
      <c r="AA4" s="10">
        <v>0</v>
      </c>
      <c r="AB4" t="str" cm="1">
        <f t="array" ref="AB4">INDEX(tblMapSchede[[#All],[SIGLA]],AA$4+2)</f>
        <v>MAS</v>
      </c>
      <c r="AC4" s="10"/>
      <c r="AD4" s="10"/>
      <c r="AE4" s="11"/>
    </row>
    <row r="5" spans="1:33" ht="15" customHeight="1">
      <c r="A5" t="str">
        <f>IF(G5&lt;&gt;"",ScenaAttiva&amp;"_"&amp;AB$4&amp;TEXT(COUNTIF($G$3:G5,"&lt;&gt;"),"0000"),"")</f>
        <v>A_MAS0003</v>
      </c>
      <c r="B5">
        <f>IF(A5&lt;&gt;"",SquadraAttiva,"")</f>
        <v>3</v>
      </c>
      <c r="C5" t="str">
        <f t="shared" si="1"/>
        <v>3-A_MAS0003</v>
      </c>
      <c r="D5">
        <f>IFERROR(_xlfn.XLOOKUP(C5,tblRisposte[idValutazione],tblRisposte[Valore],""),"")</f>
        <v>1</v>
      </c>
      <c r="F5" s="77" t="s">
        <v>716</v>
      </c>
      <c r="G5" t="s">
        <v>35</v>
      </c>
      <c r="H5" s="22" cm="1">
        <f t="array" ref="H5">_xlfn.LET(_xlpm.v,_xlfn.XLOOKUP(G5,tblValutazioni[TipoValutazione],tblValutazioni[MB],""),IF(_xlpm.v="","",_xlpm.v))</f>
        <v>5</v>
      </c>
      <c r="I5" s="20">
        <f>IF(_xlfn.XLOOKUP($A5, tblRisposte[ItemKey],tblRisposte[Valore],"")="Molto bene","X",0)</f>
        <v>0</v>
      </c>
      <c r="J5" s="1">
        <f>IF((I5="X"),H5,0)</f>
        <v>0</v>
      </c>
      <c r="K5" s="2" cm="1">
        <f t="array" ref="K5">_xlfn.LET(_xlpm.v,_xlfn.XLOOKUP(G5,tblValutazioni[TipoValutazione],tblValutazioni[BE],""),IF(_xlpm.v="","",_xlpm.v))</f>
        <v>4</v>
      </c>
      <c r="L5" s="18">
        <f>IF(_xlfn.XLOOKUP($A5, tblRisposte[ItemKey], tblRisposte[Valore], "")="Bene",
  "X",
  0)</f>
        <v>0</v>
      </c>
      <c r="M5" s="1">
        <f>IF((L5="X"),K5,0)</f>
        <v>0</v>
      </c>
      <c r="N5" s="2" cm="1">
        <f t="array" ref="N5">_xlfn.LET(_xlpm.v,_xlfn.XLOOKUP(G5,tblValutazioni[TipoValutazione],tblValutazioni[SU],""),IF(_xlpm.v="","",_xlpm.v))</f>
        <v>2</v>
      </c>
      <c r="O5" s="20">
        <f>IF(_xlfn.XLOOKUP($A5, tblRisposte[ItemKey], tblRisposte[Valore], "")="Soddisfacente","X",0)</f>
        <v>0</v>
      </c>
      <c r="P5" s="1">
        <f>IF((O5="X"),N5,0)</f>
        <v>0</v>
      </c>
      <c r="Q5" s="2" cm="1">
        <f t="array" ref="Q5">_xlfn.LET(_xlpm.v,_xlfn.XLOOKUP(G5,tblValutazioni[TipoValutazione],tblValutazioni[IN],""),IF(_xlpm.v="","",_xlpm.v))</f>
        <v>1</v>
      </c>
      <c r="R5" s="18">
        <f>IF(_xlfn.XLOOKUP($A5, tblRisposte[ItemKey], tblRisposte[Valore], "")="Insufficiente","X",0)</f>
        <v>0</v>
      </c>
      <c r="S5" s="1">
        <f>IF((R5="X"),Q5,0)</f>
        <v>0</v>
      </c>
      <c r="T5" s="2" cm="1">
        <f t="array" ref="T5">_xlfn.LET(_xlpm.v,_xlfn.XLOOKUP(G5,tblValutazioni[TipoValutazione],tblValutazioni[NE],""),IF(_xlpm.v="","",_xlpm.v))</f>
        <v>0</v>
      </c>
      <c r="U5" s="18">
        <f>IF(_xlfn.XLOOKUP($A5, tblRisposte[ItemKey], tblRisposte[Valore], "")="Non eseguito","X",0)</f>
        <v>0</v>
      </c>
      <c r="V5" s="1">
        <f>IF((U5="X"),T5,0)</f>
        <v>0</v>
      </c>
      <c r="W5">
        <f>COUNTIF(I5,"x")+COUNTIF(L5,"x")+COUNTIF(O5,"x")+COUNTIF(R5,"x")+COUNTIF(U5,"x")</f>
        <v>0</v>
      </c>
      <c r="X5" t="str">
        <f>IF(COUNTIF(I5:U5,"X")=1,"OK","errore")</f>
        <v>errore</v>
      </c>
      <c r="Y5" t="str">
        <f>IF(E5="SEP",IF(I5="x",H5,IF(L5="X",K5,IF(O5="x",N5,IF(R5="X",Q5,IF(U5="X",T5,""))))),"")</f>
        <v/>
      </c>
    </row>
    <row r="6" spans="1:33" ht="15" customHeight="1">
      <c r="A6" t="str">
        <f>IF(G6&lt;&gt;"",ScenaAttiva&amp;"_"&amp;AB$4&amp;TEXT(COUNTIF($G$3:G6,"&lt;&gt;"),"0000"),"")</f>
        <v/>
      </c>
      <c r="B6" t="str">
        <f>IF(A6&lt;&gt;"",SquadraAttiva,"")</f>
        <v/>
      </c>
      <c r="C6" t="str">
        <f t="shared" si="1"/>
        <v/>
      </c>
      <c r="D6" t="str">
        <f>IFERROR(_xlfn.XLOOKUP(C6,tblRisposte[idValutazione],tblRisposte[Valore],""),"")</f>
        <v/>
      </c>
      <c r="F6" s="76" t="s">
        <v>61</v>
      </c>
      <c r="H6" s="22" t="str" cm="1">
        <f t="array" ref="H6">_xlfn.LET(_xlpm.v,_xlfn.XLOOKUP(G6,tblValutazioni[TipoValutazione],tblValutazioni[MB],""),IF(_xlpm.v="","",_xlpm.v))</f>
        <v/>
      </c>
      <c r="I6" s="20">
        <f>IF(_xlfn.XLOOKUP($A6, tblRisposte[ItemKey],tblRisposte[Valore],"")="Molto bene","X",0)</f>
        <v>0</v>
      </c>
      <c r="J6" s="1">
        <f>IF((I6="X"),H6,0)</f>
        <v>0</v>
      </c>
      <c r="K6" s="2" t="str" cm="1">
        <f t="array" ref="K6">_xlfn.LET(_xlpm.v,_xlfn.XLOOKUP(G6,tblValutazioni[TipoValutazione],tblValutazioni[BE],""),IF(_xlpm.v="","",_xlpm.v))</f>
        <v/>
      </c>
      <c r="L6" s="18">
        <f>IF(_xlfn.XLOOKUP($A6, tblRisposte[ItemKey], tblRisposte[Valore], "")="Bene",
  "X",
  0)</f>
        <v>0</v>
      </c>
      <c r="M6" s="1">
        <f>IF((L6="X"),K6,0)</f>
        <v>0</v>
      </c>
      <c r="N6" s="2" t="str" cm="1">
        <f t="array" ref="N6">_xlfn.LET(_xlpm.v,_xlfn.XLOOKUP(G6,tblValutazioni[TipoValutazione],tblValutazioni[SU],""),IF(_xlpm.v="","",_xlpm.v))</f>
        <v/>
      </c>
      <c r="O6" s="20">
        <f>IF(_xlfn.XLOOKUP($A6, tblRisposte[ItemKey], tblRisposte[Valore], "")="Soddisfacente","X",0)</f>
        <v>0</v>
      </c>
      <c r="P6" s="1">
        <f>IF((O6="X"),N6,0)</f>
        <v>0</v>
      </c>
      <c r="Q6" s="2" t="str" cm="1">
        <f t="array" ref="Q6">_xlfn.LET(_xlpm.v,_xlfn.XLOOKUP(G6,tblValutazioni[TipoValutazione],tblValutazioni[IN],""),IF(_xlpm.v="","",_xlpm.v))</f>
        <v/>
      </c>
      <c r="R6" s="18">
        <f>IF(_xlfn.XLOOKUP($A6, tblRisposte[ItemKey], tblRisposte[Valore], "")="Insufficiente","X",0)</f>
        <v>0</v>
      </c>
      <c r="S6" s="1">
        <f>IF((R6="X"),Q6,0)</f>
        <v>0</v>
      </c>
      <c r="T6" s="2" t="str" cm="1">
        <f t="array" ref="T6">_xlfn.LET(_xlpm.v,_xlfn.XLOOKUP(G6,tblValutazioni[TipoValutazione],tblValutazioni[NE],""),IF(_xlpm.v="","",_xlpm.v))</f>
        <v/>
      </c>
      <c r="U6" s="18">
        <f>IF(_xlfn.XLOOKUP($A6, tblRisposte[ItemKey], tblRisposte[Valore], "")="Non eseguito","X",0)</f>
        <v>0</v>
      </c>
      <c r="V6" s="1">
        <f>IF((U6="X"),T6,0)</f>
        <v>0</v>
      </c>
      <c r="W6">
        <f>COUNTIF(I6,"x")+COUNTIF(L6,"x")+COUNTIF(O6,"x")+COUNTIF(R6,"x")+COUNTIF(U6,"x")</f>
        <v>0</v>
      </c>
      <c r="X6" t="str">
        <f>IF(COUNTIF(I6:U6,"X")=1,"OK","errore")</f>
        <v>errore</v>
      </c>
      <c r="Y6" t="str">
        <f>IF(E6="SEP",IF(I6="x",H6,IF(L6="X",K6,IF(O6="x",N6,IF(R6="X",Q6,IF(U6="X",T6,""))))),"")</f>
        <v/>
      </c>
      <c r="Z6" t="s">
        <v>717</v>
      </c>
    </row>
    <row r="7" spans="1:33" ht="15" customHeight="1">
      <c r="A7" t="str">
        <f>IF(G7&lt;&gt;"",ScenaAttiva&amp;"_"&amp;AB$4&amp;TEXT(COUNTIF($G$3:G7,"&lt;&gt;"),"0000"),"")</f>
        <v>A_MAS0004</v>
      </c>
      <c r="B7">
        <f>IF(A7&lt;&gt;"",SquadraAttiva,"")</f>
        <v>3</v>
      </c>
      <c r="C7" t="str">
        <f t="shared" si="1"/>
        <v>3-A_MAS0004</v>
      </c>
      <c r="D7">
        <f>IFERROR(_xlfn.XLOOKUP(C7,tblRisposte[idValutazione],tblRisposte[Valore],""),"")</f>
        <v>1</v>
      </c>
      <c r="F7" s="77" t="s">
        <v>63</v>
      </c>
      <c r="G7" t="s">
        <v>36</v>
      </c>
      <c r="H7" s="22" cm="1">
        <f t="array" ref="H7">_xlfn.LET(_xlpm.v,_xlfn.XLOOKUP(G7,tblValutazioni[TipoValutazione],tblValutazioni[MB],""),IF(_xlpm.v="","",_xlpm.v))</f>
        <v>3</v>
      </c>
      <c r="I7" s="20">
        <f>IF(_xlfn.XLOOKUP($A7, tblRisposte[ItemKey],tblRisposte[Valore],"")="Molto bene","X",0)</f>
        <v>0</v>
      </c>
      <c r="J7" s="1">
        <f t="shared" ref="J7:J41" si="2">IF((I7="X"),H7,0)</f>
        <v>0</v>
      </c>
      <c r="K7" s="2" t="str" cm="1">
        <f t="array" ref="K7">_xlfn.LET(_xlpm.v,_xlfn.XLOOKUP(G7,tblValutazioni[TipoValutazione],tblValutazioni[BE],""),IF(_xlpm.v="","",_xlpm.v))</f>
        <v/>
      </c>
      <c r="L7" s="18">
        <f>IF(_xlfn.XLOOKUP($A7, tblRisposte[ItemKey], tblRisposte[Valore], "")="Bene",
  "X",
  0)</f>
        <v>0</v>
      </c>
      <c r="M7" s="1">
        <f t="shared" ref="M7:M41" si="3">IF((L7="X"),K7,0)</f>
        <v>0</v>
      </c>
      <c r="N7" s="2" cm="1">
        <f t="array" ref="N7">_xlfn.LET(_xlpm.v,_xlfn.XLOOKUP(G7,tblValutazioni[TipoValutazione],tblValutazioni[SU],""),IF(_xlpm.v="","",_xlpm.v))</f>
        <v>1</v>
      </c>
      <c r="O7" s="20">
        <f>IF(_xlfn.XLOOKUP($A7, tblRisposte[ItemKey], tblRisposte[Valore], "")="Soddisfacente","X",0)</f>
        <v>0</v>
      </c>
      <c r="P7" s="1">
        <f t="shared" ref="P7:P41" si="4">IF((O7="X"),N7,0)</f>
        <v>0</v>
      </c>
      <c r="Q7" s="2" t="str" cm="1">
        <f t="array" ref="Q7">_xlfn.LET(_xlpm.v,_xlfn.XLOOKUP(G7,tblValutazioni[TipoValutazione],tblValutazioni[IN],""),IF(_xlpm.v="","",_xlpm.v))</f>
        <v/>
      </c>
      <c r="R7" s="18">
        <f>IF(_xlfn.XLOOKUP($A7, tblRisposte[ItemKey], tblRisposte[Valore], "")="Insufficiente","X",0)</f>
        <v>0</v>
      </c>
      <c r="S7" s="1">
        <f t="shared" ref="S7:S41" si="5">IF((R7="X"),Q7,0)</f>
        <v>0</v>
      </c>
      <c r="T7" s="2" cm="1">
        <f t="array" ref="T7">_xlfn.LET(_xlpm.v,_xlfn.XLOOKUP(G7,tblValutazioni[TipoValutazione],tblValutazioni[NE],""),IF(_xlpm.v="","",_xlpm.v))</f>
        <v>0</v>
      </c>
      <c r="U7" s="18">
        <f>IF(_xlfn.XLOOKUP($A7, tblRisposte[ItemKey], tblRisposte[Valore], "")="Non eseguito","X",0)</f>
        <v>0</v>
      </c>
      <c r="V7" s="1">
        <f t="shared" ref="V7:V41" si="6">IF((U7="X"),T7,0)</f>
        <v>0</v>
      </c>
      <c r="W7">
        <f t="shared" ref="W7:W41" si="7">COUNTIF(I7,"x")+COUNTIF(L7,"x")+COUNTIF(O7,"x")+COUNTIF(R7,"x")+COUNTIF(U7,"x")</f>
        <v>0</v>
      </c>
      <c r="X7" t="str">
        <f t="shared" ref="X7:X35" si="8">IF(COUNTIF(I7:U7,"X")=1,"OK","errore")</f>
        <v>errore</v>
      </c>
      <c r="Y7" t="str">
        <f>IF(E7="SEP",IF(I7="x",H7,IF(L7="X",K7,IF(O7="x",N7,IF(R7="X",Q7,IF(U7="X",T7,""))))),"")</f>
        <v/>
      </c>
    </row>
    <row r="8" spans="1:33" ht="15" customHeight="1">
      <c r="A8" t="str">
        <f>IF(G8&lt;&gt;"",ScenaAttiva&amp;"_"&amp;AB$4&amp;TEXT(COUNTIF($G$3:G8,"&lt;&gt;"),"0000"),"")</f>
        <v>A_MAS0005</v>
      </c>
      <c r="B8">
        <f>IF(A8&lt;&gt;"",SquadraAttiva,"")</f>
        <v>3</v>
      </c>
      <c r="C8" t="str">
        <f t="shared" si="1"/>
        <v>3-A_MAS0005</v>
      </c>
      <c r="D8">
        <f>IFERROR(_xlfn.XLOOKUP(C8,tblRisposte[idValutazione],tblRisposte[Valore],""),"")</f>
        <v>4</v>
      </c>
      <c r="F8" s="77" t="s">
        <v>65</v>
      </c>
      <c r="G8" t="s">
        <v>35</v>
      </c>
      <c r="H8" s="22" cm="1">
        <f t="array" ref="H8">_xlfn.LET(_xlpm.v,_xlfn.XLOOKUP(G8,tblValutazioni[TipoValutazione],tblValutazioni[MB],""),IF(_xlpm.v="","",_xlpm.v))</f>
        <v>5</v>
      </c>
      <c r="I8" s="20">
        <f>IF(_xlfn.XLOOKUP($A8, tblRisposte[ItemKey],tblRisposte[Valore],"")="Molto bene","X",0)</f>
        <v>0</v>
      </c>
      <c r="J8" s="1">
        <f t="shared" si="2"/>
        <v>0</v>
      </c>
      <c r="K8" s="2" cm="1">
        <f t="array" ref="K8">_xlfn.LET(_xlpm.v,_xlfn.XLOOKUP(G8,tblValutazioni[TipoValutazione],tblValutazioni[BE],""),IF(_xlpm.v="","",_xlpm.v))</f>
        <v>4</v>
      </c>
      <c r="L8" s="18">
        <f>IF(_xlfn.XLOOKUP($A8, tblRisposte[ItemKey], tblRisposte[Valore], "")="Bene",
  "X",
  0)</f>
        <v>0</v>
      </c>
      <c r="M8" s="1">
        <f t="shared" si="3"/>
        <v>0</v>
      </c>
      <c r="N8" s="2" cm="1">
        <f t="array" ref="N8">_xlfn.LET(_xlpm.v,_xlfn.XLOOKUP(G8,tblValutazioni[TipoValutazione],tblValutazioni[SU],""),IF(_xlpm.v="","",_xlpm.v))</f>
        <v>2</v>
      </c>
      <c r="O8" s="20">
        <f>IF(_xlfn.XLOOKUP($A8, tblRisposte[ItemKey], tblRisposte[Valore], "")="Soddisfacente","X",0)</f>
        <v>0</v>
      </c>
      <c r="P8" s="1">
        <f t="shared" si="4"/>
        <v>0</v>
      </c>
      <c r="Q8" s="2" cm="1">
        <f t="array" ref="Q8">_xlfn.LET(_xlpm.v,_xlfn.XLOOKUP(G8,tblValutazioni[TipoValutazione],tblValutazioni[IN],""),IF(_xlpm.v="","",_xlpm.v))</f>
        <v>1</v>
      </c>
      <c r="R8" s="18">
        <f>IF(_xlfn.XLOOKUP($A8, tblRisposte[ItemKey], tblRisposte[Valore], "")="Insufficiente","X",0)</f>
        <v>0</v>
      </c>
      <c r="S8" s="1">
        <f t="shared" si="5"/>
        <v>0</v>
      </c>
      <c r="T8" s="2" cm="1">
        <f t="array" ref="T8">_xlfn.LET(_xlpm.v,_xlfn.XLOOKUP(G8,tblValutazioni[TipoValutazione],tblValutazioni[NE],""),IF(_xlpm.v="","",_xlpm.v))</f>
        <v>0</v>
      </c>
      <c r="U8" s="18">
        <f>IF(_xlfn.XLOOKUP($A8, tblRisposte[ItemKey], tblRisposte[Valore], "")="Non eseguito","X",0)</f>
        <v>0</v>
      </c>
      <c r="V8" s="1">
        <f t="shared" si="6"/>
        <v>0</v>
      </c>
      <c r="W8">
        <f t="shared" si="7"/>
        <v>0</v>
      </c>
      <c r="X8" t="str">
        <f t="shared" si="8"/>
        <v>errore</v>
      </c>
      <c r="Y8" t="str">
        <f>IF(E8="SEP",IF(I8="x",H8,IF(L8="X",K8,IF(O8="x",N8,IF(R8="X",Q8,IF(U8="X",T8,""))))),"")</f>
        <v/>
      </c>
      <c r="Z8" t="s">
        <v>24</v>
      </c>
    </row>
    <row r="9" spans="1:33" ht="15" customHeight="1">
      <c r="A9" t="str">
        <f>IF(G9&lt;&gt;"",ScenaAttiva&amp;"_"&amp;AB$4&amp;TEXT(COUNTIF($G$3:G9,"&lt;&gt;"),"0000"),"")</f>
        <v>A_MAS0006</v>
      </c>
      <c r="B9">
        <f>IF(A9&lt;&gt;"",SquadraAttiva,"")</f>
        <v>3</v>
      </c>
      <c r="C9" t="str">
        <f t="shared" si="1"/>
        <v>3-A_MAS0006</v>
      </c>
      <c r="D9">
        <f>IFERROR(_xlfn.XLOOKUP(C9,tblRisposte[idValutazione],tblRisposte[Valore],""),"")</f>
        <v>4</v>
      </c>
      <c r="F9" s="77" t="s">
        <v>67</v>
      </c>
      <c r="G9" t="s">
        <v>35</v>
      </c>
      <c r="H9" s="22" cm="1">
        <f t="array" ref="H9">_xlfn.LET(_xlpm.v,_xlfn.XLOOKUP(G9,tblValutazioni[TipoValutazione],tblValutazioni[MB],""),IF(_xlpm.v="","",_xlpm.v))</f>
        <v>5</v>
      </c>
      <c r="I9" s="20">
        <f>IF(_xlfn.XLOOKUP($A9, tblRisposte[ItemKey],tblRisposte[Valore],"")="Molto bene","X",0)</f>
        <v>0</v>
      </c>
      <c r="J9" s="1">
        <f t="shared" si="2"/>
        <v>0</v>
      </c>
      <c r="K9" s="2" cm="1">
        <f t="array" ref="K9">_xlfn.LET(_xlpm.v,_xlfn.XLOOKUP(G9,tblValutazioni[TipoValutazione],tblValutazioni[BE],""),IF(_xlpm.v="","",_xlpm.v))</f>
        <v>4</v>
      </c>
      <c r="L9" s="18">
        <f>IF(_xlfn.XLOOKUP($A9, tblRisposte[ItemKey], tblRisposte[Valore], "")="Bene",
  "X",
  0)</f>
        <v>0</v>
      </c>
      <c r="M9" s="1">
        <f t="shared" si="3"/>
        <v>0</v>
      </c>
      <c r="N9" s="2" cm="1">
        <f t="array" ref="N9">_xlfn.LET(_xlpm.v,_xlfn.XLOOKUP(G9,tblValutazioni[TipoValutazione],tblValutazioni[SU],""),IF(_xlpm.v="","",_xlpm.v))</f>
        <v>2</v>
      </c>
      <c r="O9" s="20">
        <f>IF(_xlfn.XLOOKUP($A9, tblRisposte[ItemKey], tblRisposte[Valore], "")="Soddisfacente","X",0)</f>
        <v>0</v>
      </c>
      <c r="P9" s="1">
        <f t="shared" si="4"/>
        <v>0</v>
      </c>
      <c r="Q9" s="2" cm="1">
        <f t="array" ref="Q9">_xlfn.LET(_xlpm.v,_xlfn.XLOOKUP(G9,tblValutazioni[TipoValutazione],tblValutazioni[IN],""),IF(_xlpm.v="","",_xlpm.v))</f>
        <v>1</v>
      </c>
      <c r="R9" s="18">
        <f>IF(_xlfn.XLOOKUP($A9, tblRisposte[ItemKey], tblRisposte[Valore], "")="Insufficiente","X",0)</f>
        <v>0</v>
      </c>
      <c r="S9" s="1">
        <f t="shared" si="5"/>
        <v>0</v>
      </c>
      <c r="T9" s="2" cm="1">
        <f t="array" ref="T9">_xlfn.LET(_xlpm.v,_xlfn.XLOOKUP(G9,tblValutazioni[TipoValutazione],tblValutazioni[NE],""),IF(_xlpm.v="","",_xlpm.v))</f>
        <v>0</v>
      </c>
      <c r="U9" s="18">
        <f>IF(_xlfn.XLOOKUP($A9, tblRisposte[ItemKey], tblRisposte[Valore], "")="Non eseguito","X",0)</f>
        <v>0</v>
      </c>
      <c r="V9" s="1">
        <f t="shared" si="6"/>
        <v>0</v>
      </c>
      <c r="W9">
        <f t="shared" si="7"/>
        <v>0</v>
      </c>
      <c r="X9" t="str">
        <f t="shared" si="8"/>
        <v>errore</v>
      </c>
      <c r="Y9" t="str">
        <f>IF(E9="SEP",IF(I9="x",H9,IF(L9="X",K9,IF(O9="x",N9,IF(R9="X",Q9,IF(U9="X",T9,""))))),"")</f>
        <v/>
      </c>
    </row>
    <row r="10" spans="1:33" ht="15" customHeight="1">
      <c r="A10" t="str">
        <f>IF(G10&lt;&gt;"",ScenaAttiva&amp;"_"&amp;AB$4&amp;TEXT(COUNTIF($G$3:G10,"&lt;&gt;"),"0000"),"")</f>
        <v/>
      </c>
      <c r="B10" t="str">
        <f>IF(A10&lt;&gt;"",SquadraAttiva,"")</f>
        <v/>
      </c>
      <c r="C10" t="str">
        <f t="shared" si="1"/>
        <v/>
      </c>
      <c r="D10" t="str">
        <f>IFERROR(_xlfn.XLOOKUP(C10,tblRisposte[idValutazione],tblRisposte[Valore],""),"")</f>
        <v/>
      </c>
      <c r="F10" s="76" t="s">
        <v>69</v>
      </c>
      <c r="H10" s="22" t="str" cm="1">
        <f t="array" ref="H10">_xlfn.LET(_xlpm.v,_xlfn.XLOOKUP(G10,tblValutazioni[TipoValutazione],tblValutazioni[MB],""),IF(_xlpm.v="","",_xlpm.v))</f>
        <v/>
      </c>
      <c r="I10" s="20">
        <f>IF(_xlfn.XLOOKUP($A10, tblRisposte[ItemKey],tblRisposte[Valore],"")="Molto bene","X",0)</f>
        <v>0</v>
      </c>
      <c r="J10" s="1">
        <f t="shared" si="2"/>
        <v>0</v>
      </c>
      <c r="K10" s="2" t="str" cm="1">
        <f t="array" ref="K10">_xlfn.LET(_xlpm.v,_xlfn.XLOOKUP(G10,tblValutazioni[TipoValutazione],tblValutazioni[BE],""),IF(_xlpm.v="","",_xlpm.v))</f>
        <v/>
      </c>
      <c r="L10" s="18">
        <f>IF(_xlfn.XLOOKUP($A10, tblRisposte[ItemKey], tblRisposte[Valore], "")="Bene",
  "X",
  0)</f>
        <v>0</v>
      </c>
      <c r="M10" s="1">
        <f t="shared" si="3"/>
        <v>0</v>
      </c>
      <c r="N10" s="2" t="str" cm="1">
        <f t="array" ref="N10">_xlfn.LET(_xlpm.v,_xlfn.XLOOKUP(G10,tblValutazioni[TipoValutazione],tblValutazioni[SU],""),IF(_xlpm.v="","",_xlpm.v))</f>
        <v/>
      </c>
      <c r="O10" s="20">
        <f>IF(_xlfn.XLOOKUP($A10, tblRisposte[ItemKey], tblRisposte[Valore], "")="Soddisfacente","X",0)</f>
        <v>0</v>
      </c>
      <c r="P10" s="1">
        <f t="shared" si="4"/>
        <v>0</v>
      </c>
      <c r="Q10" s="2" t="str" cm="1">
        <f t="array" ref="Q10">_xlfn.LET(_xlpm.v,_xlfn.XLOOKUP(G10,tblValutazioni[TipoValutazione],tblValutazioni[IN],""),IF(_xlpm.v="","",_xlpm.v))</f>
        <v/>
      </c>
      <c r="R10" s="18">
        <f>IF(_xlfn.XLOOKUP($A10, tblRisposte[ItemKey], tblRisposte[Valore], "")="Insufficiente","X",0)</f>
        <v>0</v>
      </c>
      <c r="S10" s="1">
        <f t="shared" si="5"/>
        <v>0</v>
      </c>
      <c r="T10" s="2" t="str" cm="1">
        <f t="array" ref="T10">_xlfn.LET(_xlpm.v,_xlfn.XLOOKUP(G10,tblValutazioni[TipoValutazione],tblValutazioni[NE],""),IF(_xlpm.v="","",_xlpm.v))</f>
        <v/>
      </c>
      <c r="U10" s="18">
        <f>IF(_xlfn.XLOOKUP($A10, tblRisposte[ItemKey], tblRisposte[Valore], "")="Non eseguito","X",0)</f>
        <v>0</v>
      </c>
      <c r="V10" s="1">
        <f t="shared" si="6"/>
        <v>0</v>
      </c>
      <c r="W10">
        <f t="shared" si="7"/>
        <v>0</v>
      </c>
      <c r="X10" t="str">
        <f t="shared" si="8"/>
        <v>errore</v>
      </c>
      <c r="Y10" t="str">
        <f>IF(E10="SEP",IF(I10="x",H10,IF(L10="X",K10,IF(O10="x",N10,IF(R10="X",Q10,IF(U10="X",T10,""))))),"")</f>
        <v/>
      </c>
    </row>
    <row r="11" spans="1:33" ht="15" customHeight="1">
      <c r="A11" t="str">
        <f>IF(G11&lt;&gt;"",ScenaAttiva&amp;"_"&amp;AB$4&amp;TEXT(COUNTIF($G$3:G11,"&lt;&gt;"),"0000"),"")</f>
        <v>A_MAS0007</v>
      </c>
      <c r="B11">
        <f>IF(A11&lt;&gt;"",SquadraAttiva,"")</f>
        <v>3</v>
      </c>
      <c r="C11" t="str">
        <f t="shared" si="1"/>
        <v>3-A_MAS0007</v>
      </c>
      <c r="D11">
        <f>IFERROR(_xlfn.XLOOKUP(C11,tblRisposte[idValutazione],tblRisposte[Valore],""),"")</f>
        <v>1</v>
      </c>
      <c r="F11" s="77" t="s">
        <v>71</v>
      </c>
      <c r="G11" t="s">
        <v>36</v>
      </c>
      <c r="H11" s="22" cm="1">
        <f t="array" ref="H11">_xlfn.LET(_xlpm.v,_xlfn.XLOOKUP(G11,tblValutazioni[TipoValutazione],tblValutazioni[MB],""),IF(_xlpm.v="","",_xlpm.v))</f>
        <v>3</v>
      </c>
      <c r="I11" s="20">
        <f>IF(_xlfn.XLOOKUP($A11, tblRisposte[ItemKey],tblRisposte[Valore],"")="Molto bene","X",0)</f>
        <v>0</v>
      </c>
      <c r="J11" s="1">
        <f t="shared" si="2"/>
        <v>0</v>
      </c>
      <c r="K11" s="2" t="str" cm="1">
        <f t="array" ref="K11">_xlfn.LET(_xlpm.v,_xlfn.XLOOKUP(G11,tblValutazioni[TipoValutazione],tblValutazioni[BE],""),IF(_xlpm.v="","",_xlpm.v))</f>
        <v/>
      </c>
      <c r="L11" s="18">
        <f>IF(_xlfn.XLOOKUP($A11, tblRisposte[ItemKey], tblRisposte[Valore], "")="Bene",
  "X",
  0)</f>
        <v>0</v>
      </c>
      <c r="M11" s="1">
        <f t="shared" si="3"/>
        <v>0</v>
      </c>
      <c r="N11" s="2" cm="1">
        <f t="array" ref="N11">_xlfn.LET(_xlpm.v,_xlfn.XLOOKUP(G11,tblValutazioni[TipoValutazione],tblValutazioni[SU],""),IF(_xlpm.v="","",_xlpm.v))</f>
        <v>1</v>
      </c>
      <c r="O11" s="20">
        <f>IF(_xlfn.XLOOKUP($A11, tblRisposte[ItemKey], tblRisposte[Valore], "")="Soddisfacente","X",0)</f>
        <v>0</v>
      </c>
      <c r="P11" s="1">
        <f t="shared" si="4"/>
        <v>0</v>
      </c>
      <c r="Q11" s="2" t="str" cm="1">
        <f t="array" ref="Q11">_xlfn.LET(_xlpm.v,_xlfn.XLOOKUP(G11,tblValutazioni[TipoValutazione],tblValutazioni[IN],""),IF(_xlpm.v="","",_xlpm.v))</f>
        <v/>
      </c>
      <c r="R11" s="18">
        <f>IF(_xlfn.XLOOKUP($A11, tblRisposte[ItemKey], tblRisposte[Valore], "")="Insufficiente","X",0)</f>
        <v>0</v>
      </c>
      <c r="S11" s="1">
        <f t="shared" si="5"/>
        <v>0</v>
      </c>
      <c r="T11" s="2" cm="1">
        <f t="array" ref="T11">_xlfn.LET(_xlpm.v,_xlfn.XLOOKUP(G11,tblValutazioni[TipoValutazione],tblValutazioni[NE],""),IF(_xlpm.v="","",_xlpm.v))</f>
        <v>0</v>
      </c>
      <c r="U11" s="18">
        <f>IF(_xlfn.XLOOKUP($A11, tblRisposte[ItemKey], tblRisposte[Valore], "")="Non eseguito","X",0)</f>
        <v>0</v>
      </c>
      <c r="V11" s="1">
        <f t="shared" si="6"/>
        <v>0</v>
      </c>
      <c r="W11">
        <f t="shared" si="7"/>
        <v>0</v>
      </c>
      <c r="X11" t="str">
        <f t="shared" si="8"/>
        <v>errore</v>
      </c>
      <c r="Y11" t="str">
        <f>IF(E11="SEP",IF(I11="x",H11,IF(L11="X",K11,IF(O11="x",N11,IF(R11="X",Q11,IF(U11="X",T11,""))))),"")</f>
        <v/>
      </c>
      <c r="Z11" t="s">
        <v>718</v>
      </c>
      <c r="AA11">
        <f>SUM(H2:H41)</f>
        <v>120</v>
      </c>
    </row>
    <row r="12" spans="1:33" ht="15" customHeight="1">
      <c r="A12" t="str">
        <f>IF(G12&lt;&gt;"",ScenaAttiva&amp;"_"&amp;AB$4&amp;TEXT(COUNTIF($G$3:G12,"&lt;&gt;"),"0000"),"")</f>
        <v>A_MAS0008</v>
      </c>
      <c r="B12">
        <f>IF(A12&lt;&gt;"",SquadraAttiva,"")</f>
        <v>3</v>
      </c>
      <c r="C12" t="str">
        <f t="shared" si="1"/>
        <v>3-A_MAS0008</v>
      </c>
      <c r="D12">
        <f>IFERROR(_xlfn.XLOOKUP(C12,tblRisposte[idValutazione],tblRisposte[Valore],""),"")</f>
        <v>4</v>
      </c>
      <c r="F12" s="77" t="s">
        <v>73</v>
      </c>
      <c r="G12" t="s">
        <v>35</v>
      </c>
      <c r="H12" s="22" cm="1">
        <f t="array" ref="H12">_xlfn.LET(_xlpm.v,_xlfn.XLOOKUP(G12,tblValutazioni[TipoValutazione],tblValutazioni[MB],""),IF(_xlpm.v="","",_xlpm.v))</f>
        <v>5</v>
      </c>
      <c r="I12" s="20">
        <f>IF(_xlfn.XLOOKUP($A12, tblRisposte[ItemKey],tblRisposte[Valore],"")="Molto bene","X",0)</f>
        <v>0</v>
      </c>
      <c r="J12" s="1">
        <f t="shared" si="2"/>
        <v>0</v>
      </c>
      <c r="K12" s="2" cm="1">
        <f t="array" ref="K12">_xlfn.LET(_xlpm.v,_xlfn.XLOOKUP(G12,tblValutazioni[TipoValutazione],tblValutazioni[BE],""),IF(_xlpm.v="","",_xlpm.v))</f>
        <v>4</v>
      </c>
      <c r="L12" s="18">
        <f>IF(_xlfn.XLOOKUP($A12, tblRisposte[ItemKey], tblRisposte[Valore], "")="Bene",
  "X",
  0)</f>
        <v>0</v>
      </c>
      <c r="M12" s="1">
        <f t="shared" si="3"/>
        <v>0</v>
      </c>
      <c r="N12" s="2" cm="1">
        <f t="array" ref="N12">_xlfn.LET(_xlpm.v,_xlfn.XLOOKUP(G12,tblValutazioni[TipoValutazione],tblValutazioni[SU],""),IF(_xlpm.v="","",_xlpm.v))</f>
        <v>2</v>
      </c>
      <c r="O12" s="20">
        <f>IF(_xlfn.XLOOKUP($A12, tblRisposte[ItemKey], tblRisposte[Valore], "")="Soddisfacente","X",0)</f>
        <v>0</v>
      </c>
      <c r="P12" s="1">
        <f t="shared" si="4"/>
        <v>0</v>
      </c>
      <c r="Q12" s="2" cm="1">
        <f t="array" ref="Q12">_xlfn.LET(_xlpm.v,_xlfn.XLOOKUP(G12,tblValutazioni[TipoValutazione],tblValutazioni[IN],""),IF(_xlpm.v="","",_xlpm.v))</f>
        <v>1</v>
      </c>
      <c r="R12" s="18">
        <f>IF(_xlfn.XLOOKUP($A12, tblRisposte[ItemKey], tblRisposte[Valore], "")="Insufficiente","X",0)</f>
        <v>0</v>
      </c>
      <c r="S12" s="1">
        <f t="shared" si="5"/>
        <v>0</v>
      </c>
      <c r="T12" s="2" cm="1">
        <f t="array" ref="T12">_xlfn.LET(_xlpm.v,_xlfn.XLOOKUP(G12,tblValutazioni[TipoValutazione],tblValutazioni[NE],""),IF(_xlpm.v="","",_xlpm.v))</f>
        <v>0</v>
      </c>
      <c r="U12" s="18">
        <f>IF(_xlfn.XLOOKUP($A12, tblRisposte[ItemKey], tblRisposte[Valore], "")="Non eseguito","X",0)</f>
        <v>0</v>
      </c>
      <c r="V12" s="1">
        <f t="shared" si="6"/>
        <v>0</v>
      </c>
      <c r="W12">
        <f t="shared" si="7"/>
        <v>0</v>
      </c>
      <c r="X12" t="str">
        <f t="shared" si="8"/>
        <v>errore</v>
      </c>
      <c r="Y12" t="str">
        <f>IF(E12="SEP",IF(I12="x",H12,IF(L12="X",K12,IF(O12="x",N12,IF(R12="X",Q12,IF(U12="X",T12,""))))),"")</f>
        <v/>
      </c>
      <c r="Z12" t="s">
        <v>719</v>
      </c>
      <c r="AA12" s="13">
        <f>J43/AA11</f>
        <v>0</v>
      </c>
    </row>
    <row r="13" spans="1:33" ht="15" customHeight="1">
      <c r="A13" t="str">
        <f>IF(G13&lt;&gt;"",ScenaAttiva&amp;"_"&amp;AB$4&amp;TEXT(COUNTIF($G$3:G13,"&lt;&gt;"),"0000"),"")</f>
        <v>A_MAS0009</v>
      </c>
      <c r="B13">
        <f>IF(A13&lt;&gt;"",SquadraAttiva,"")</f>
        <v>3</v>
      </c>
      <c r="C13" t="str">
        <f t="shared" si="1"/>
        <v>3-A_MAS0009</v>
      </c>
      <c r="D13">
        <f>IFERROR(_xlfn.XLOOKUP(C13,tblRisposte[idValutazione],tblRisposte[Valore],""),"")</f>
        <v>1</v>
      </c>
      <c r="F13" s="77" t="s">
        <v>75</v>
      </c>
      <c r="G13" t="s">
        <v>36</v>
      </c>
      <c r="H13" s="22" cm="1">
        <f t="array" ref="H13">_xlfn.LET(_xlpm.v,_xlfn.XLOOKUP(G13,tblValutazioni[TipoValutazione],tblValutazioni[MB],""),IF(_xlpm.v="","",_xlpm.v))</f>
        <v>3</v>
      </c>
      <c r="I13" s="20">
        <f>IF(_xlfn.XLOOKUP($A13, tblRisposte[ItemKey],tblRisposte[Valore],"")="Molto bene","X",0)</f>
        <v>0</v>
      </c>
      <c r="J13" s="1">
        <f t="shared" si="2"/>
        <v>0</v>
      </c>
      <c r="K13" s="2" t="str" cm="1">
        <f t="array" ref="K13">_xlfn.LET(_xlpm.v,_xlfn.XLOOKUP(G13,tblValutazioni[TipoValutazione],tblValutazioni[BE],""),IF(_xlpm.v="","",_xlpm.v))</f>
        <v/>
      </c>
      <c r="L13" s="18">
        <f>IF(_xlfn.XLOOKUP($A13, tblRisposte[ItemKey], tblRisposte[Valore], "")="Bene",
  "X",
  0)</f>
        <v>0</v>
      </c>
      <c r="M13" s="1">
        <f t="shared" si="3"/>
        <v>0</v>
      </c>
      <c r="N13" s="2" cm="1">
        <f t="array" ref="N13">_xlfn.LET(_xlpm.v,_xlfn.XLOOKUP(G13,tblValutazioni[TipoValutazione],tblValutazioni[SU],""),IF(_xlpm.v="","",_xlpm.v))</f>
        <v>1</v>
      </c>
      <c r="O13" s="20">
        <f>IF(_xlfn.XLOOKUP($A13, tblRisposte[ItemKey], tblRisposte[Valore], "")="Soddisfacente","X",0)</f>
        <v>0</v>
      </c>
      <c r="P13" s="1">
        <f t="shared" si="4"/>
        <v>0</v>
      </c>
      <c r="Q13" s="2" t="str" cm="1">
        <f t="array" ref="Q13">_xlfn.LET(_xlpm.v,_xlfn.XLOOKUP(G13,tblValutazioni[TipoValutazione],tblValutazioni[IN],""),IF(_xlpm.v="","",_xlpm.v))</f>
        <v/>
      </c>
      <c r="R13" s="18">
        <f>IF(_xlfn.XLOOKUP($A13, tblRisposte[ItemKey], tblRisposte[Valore], "")="Insufficiente","X",0)</f>
        <v>0</v>
      </c>
      <c r="S13" s="1">
        <f t="shared" si="5"/>
        <v>0</v>
      </c>
      <c r="T13" s="2" cm="1">
        <f t="array" ref="T13">_xlfn.LET(_xlpm.v,_xlfn.XLOOKUP(G13,tblValutazioni[TipoValutazione],tblValutazioni[NE],""),IF(_xlpm.v="","",_xlpm.v))</f>
        <v>0</v>
      </c>
      <c r="U13" s="18">
        <f>IF(_xlfn.XLOOKUP($A13, tblRisposte[ItemKey], tblRisposte[Valore], "")="Non eseguito","X",0)</f>
        <v>0</v>
      </c>
      <c r="V13" s="1">
        <f t="shared" si="6"/>
        <v>0</v>
      </c>
      <c r="W13">
        <f t="shared" si="7"/>
        <v>0</v>
      </c>
      <c r="X13" t="str">
        <f t="shared" si="8"/>
        <v>errore</v>
      </c>
      <c r="Y13" t="str">
        <f>IF(E13="SEP",IF(I13="x",H13,IF(L13="X",K13,IF(O13="x",N13,IF(R13="X",Q13,IF(U13="X",T13,""))))),"")</f>
        <v/>
      </c>
    </row>
    <row r="14" spans="1:33" ht="15" customHeight="1">
      <c r="A14" t="str">
        <f>IF(G14&lt;&gt;"",ScenaAttiva&amp;"_"&amp;AB$4&amp;TEXT(COUNTIF($G$3:G14,"&lt;&gt;"),"0000"),"")</f>
        <v>A_MAS0010</v>
      </c>
      <c r="B14">
        <f>IF(A14&lt;&gt;"",SquadraAttiva,"")</f>
        <v>3</v>
      </c>
      <c r="C14" t="str">
        <f t="shared" si="1"/>
        <v>3-A_MAS0010</v>
      </c>
      <c r="D14">
        <f>IFERROR(_xlfn.XLOOKUP(C14,tblRisposte[idValutazione],tblRisposte[Valore],""),"")</f>
        <v>1</v>
      </c>
      <c r="F14" s="77" t="s">
        <v>77</v>
      </c>
      <c r="G14" t="s">
        <v>35</v>
      </c>
      <c r="H14" s="22" cm="1">
        <f t="array" ref="H14">_xlfn.LET(_xlpm.v,_xlfn.XLOOKUP(G14,tblValutazioni[TipoValutazione],tblValutazioni[MB],""),IF(_xlpm.v="","",_xlpm.v))</f>
        <v>5</v>
      </c>
      <c r="I14" s="20">
        <f>IF(_xlfn.XLOOKUP($A14, tblRisposte[ItemKey],tblRisposte[Valore],"")="Molto bene","X",0)</f>
        <v>0</v>
      </c>
      <c r="J14" s="1">
        <f t="shared" si="2"/>
        <v>0</v>
      </c>
      <c r="K14" s="2" cm="1">
        <f t="array" ref="K14">_xlfn.LET(_xlpm.v,_xlfn.XLOOKUP(G14,tblValutazioni[TipoValutazione],tblValutazioni[BE],""),IF(_xlpm.v="","",_xlpm.v))</f>
        <v>4</v>
      </c>
      <c r="L14" s="18">
        <f>IF(_xlfn.XLOOKUP($A14, tblRisposte[ItemKey], tblRisposte[Valore], "")="Bene",
  "X",
  0)</f>
        <v>0</v>
      </c>
      <c r="M14" s="1">
        <f t="shared" si="3"/>
        <v>0</v>
      </c>
      <c r="N14" s="2" cm="1">
        <f t="array" ref="N14">_xlfn.LET(_xlpm.v,_xlfn.XLOOKUP(G14,tblValutazioni[TipoValutazione],tblValutazioni[SU],""),IF(_xlpm.v="","",_xlpm.v))</f>
        <v>2</v>
      </c>
      <c r="O14" s="20">
        <f>IF(_xlfn.XLOOKUP($A14, tblRisposte[ItemKey], tblRisposte[Valore], "")="Soddisfacente","X",0)</f>
        <v>0</v>
      </c>
      <c r="P14" s="1">
        <f t="shared" si="4"/>
        <v>0</v>
      </c>
      <c r="Q14" s="2" cm="1">
        <f t="array" ref="Q14">_xlfn.LET(_xlpm.v,_xlfn.XLOOKUP(G14,tblValutazioni[TipoValutazione],tblValutazioni[IN],""),IF(_xlpm.v="","",_xlpm.v))</f>
        <v>1</v>
      </c>
      <c r="R14" s="18">
        <f>IF(_xlfn.XLOOKUP($A14, tblRisposte[ItemKey], tblRisposte[Valore], "")="Insufficiente","X",0)</f>
        <v>0</v>
      </c>
      <c r="S14" s="1">
        <f t="shared" si="5"/>
        <v>0</v>
      </c>
      <c r="T14" s="2" cm="1">
        <f t="array" ref="T14">_xlfn.LET(_xlpm.v,_xlfn.XLOOKUP(G14,tblValutazioni[TipoValutazione],tblValutazioni[NE],""),IF(_xlpm.v="","",_xlpm.v))</f>
        <v>0</v>
      </c>
      <c r="U14" s="18">
        <f>IF(_xlfn.XLOOKUP($A14, tblRisposte[ItemKey], tblRisposte[Valore], "")="Non eseguito","X",0)</f>
        <v>0</v>
      </c>
      <c r="V14" s="1">
        <f t="shared" si="6"/>
        <v>0</v>
      </c>
      <c r="W14">
        <f t="shared" si="7"/>
        <v>0</v>
      </c>
      <c r="X14" t="str">
        <f t="shared" si="8"/>
        <v>errore</v>
      </c>
      <c r="Y14" t="str">
        <f>IF(E14="SEP",IF(I14="x",H14,IF(L14="X",K14,IF(O14="x",N14,IF(R14="X",Q14,IF(U14="X",T14,""))))),"")</f>
        <v/>
      </c>
      <c r="Z14" t="s">
        <v>720</v>
      </c>
      <c r="AA14">
        <f>SUMIF(E2:E41,"SEP",H2:H41)</f>
        <v>35</v>
      </c>
    </row>
    <row r="15" spans="1:33" ht="15" customHeight="1">
      <c r="A15" t="str">
        <f>IF(G15&lt;&gt;"",ScenaAttiva&amp;"_"&amp;AB$4&amp;TEXT(COUNTIF($G$3:G15,"&lt;&gt;"),"0000"),"")</f>
        <v>A_MAS0011</v>
      </c>
      <c r="B15">
        <f>IF(A15&lt;&gt;"",SquadraAttiva,"")</f>
        <v>3</v>
      </c>
      <c r="C15" t="str">
        <f t="shared" si="1"/>
        <v>3-A_MAS0011</v>
      </c>
      <c r="D15">
        <f>IFERROR(_xlfn.XLOOKUP(C15,tblRisposte[idValutazione],tblRisposte[Valore],""),"")</f>
        <v>3</v>
      </c>
      <c r="F15" s="77" t="s">
        <v>79</v>
      </c>
      <c r="G15" t="s">
        <v>36</v>
      </c>
      <c r="H15" s="22" cm="1">
        <f t="array" ref="H15">_xlfn.LET(_xlpm.v,_xlfn.XLOOKUP(G15,tblValutazioni[TipoValutazione],tblValutazioni[MB],""),IF(_xlpm.v="","",_xlpm.v))</f>
        <v>3</v>
      </c>
      <c r="I15" s="20">
        <f>IF(_xlfn.XLOOKUP($A15, tblRisposte[ItemKey],tblRisposte[Valore],"")="Molto bene","X",0)</f>
        <v>0</v>
      </c>
      <c r="J15" s="1">
        <f t="shared" si="2"/>
        <v>0</v>
      </c>
      <c r="K15" s="2" t="str" cm="1">
        <f t="array" ref="K15">_xlfn.LET(_xlpm.v,_xlfn.XLOOKUP(G15,tblValutazioni[TipoValutazione],tblValutazioni[BE],""),IF(_xlpm.v="","",_xlpm.v))</f>
        <v/>
      </c>
      <c r="L15" s="18">
        <f>IF(_xlfn.XLOOKUP($A15, tblRisposte[ItemKey], tblRisposte[Valore], "")="Bene",
  "X",
  0)</f>
        <v>0</v>
      </c>
      <c r="M15" s="1">
        <f t="shared" si="3"/>
        <v>0</v>
      </c>
      <c r="N15" s="2" cm="1">
        <f t="array" ref="N15">_xlfn.LET(_xlpm.v,_xlfn.XLOOKUP(G15,tblValutazioni[TipoValutazione],tblValutazioni[SU],""),IF(_xlpm.v="","",_xlpm.v))</f>
        <v>1</v>
      </c>
      <c r="O15" s="20">
        <f>IF(_xlfn.XLOOKUP($A15, tblRisposte[ItemKey], tblRisposte[Valore], "")="Soddisfacente","X",0)</f>
        <v>0</v>
      </c>
      <c r="P15" s="1">
        <f t="shared" si="4"/>
        <v>0</v>
      </c>
      <c r="Q15" s="2" t="str" cm="1">
        <f t="array" ref="Q15">_xlfn.LET(_xlpm.v,_xlfn.XLOOKUP(G15,tblValutazioni[TipoValutazione],tblValutazioni[IN],""),IF(_xlpm.v="","",_xlpm.v))</f>
        <v/>
      </c>
      <c r="R15" s="18">
        <f>IF(_xlfn.XLOOKUP($A15, tblRisposte[ItemKey], tblRisposte[Valore], "")="Insufficiente","X",0)</f>
        <v>0</v>
      </c>
      <c r="S15" s="1">
        <f t="shared" si="5"/>
        <v>0</v>
      </c>
      <c r="T15" s="2" cm="1">
        <f t="array" ref="T15">_xlfn.LET(_xlpm.v,_xlfn.XLOOKUP(G15,tblValutazioni[TipoValutazione],tblValutazioni[NE],""),IF(_xlpm.v="","",_xlpm.v))</f>
        <v>0</v>
      </c>
      <c r="U15" s="18">
        <f>IF(_xlfn.XLOOKUP($A15, tblRisposte[ItemKey], tblRisposte[Valore], "")="Non eseguito","X",0)</f>
        <v>0</v>
      </c>
      <c r="V15" s="1">
        <f t="shared" si="6"/>
        <v>0</v>
      </c>
      <c r="W15">
        <f t="shared" si="7"/>
        <v>0</v>
      </c>
      <c r="X15" t="str">
        <f t="shared" si="8"/>
        <v>errore</v>
      </c>
      <c r="Y15" t="str">
        <f>IF(E15="SEP",IF(I15="x",H15,IF(L15="X",K15,IF(O15="x",N15,IF(R15="X",Q15,IF(U15="X",T15,""))))),"")</f>
        <v/>
      </c>
    </row>
    <row r="16" spans="1:33" ht="15" customHeight="1">
      <c r="A16" t="str">
        <f>IF(G16&lt;&gt;"",ScenaAttiva&amp;"_"&amp;AB$4&amp;TEXT(COUNTIF($G$3:G16,"&lt;&gt;"),"0000"),"")</f>
        <v>A_MAS0012</v>
      </c>
      <c r="B16">
        <f>IF(A16&lt;&gt;"",SquadraAttiva,"")</f>
        <v>3</v>
      </c>
      <c r="C16" t="str">
        <f t="shared" si="1"/>
        <v>3-A_MAS0012</v>
      </c>
      <c r="D16">
        <f>IFERROR(_xlfn.XLOOKUP(C16,tblRisposte[idValutazione],tblRisposte[Valore],""),"")</f>
        <v>3</v>
      </c>
      <c r="F16" s="77" t="s">
        <v>81</v>
      </c>
      <c r="G16" t="s">
        <v>36</v>
      </c>
      <c r="H16" s="22" cm="1">
        <f t="array" ref="H16">_xlfn.LET(_xlpm.v,_xlfn.XLOOKUP(G16,tblValutazioni[TipoValutazione],tblValutazioni[MB],""),IF(_xlpm.v="","",_xlpm.v))</f>
        <v>3</v>
      </c>
      <c r="I16" s="20">
        <f>IF(_xlfn.XLOOKUP($A16, tblRisposte[ItemKey],tblRisposte[Valore],"")="Molto bene","X",0)</f>
        <v>0</v>
      </c>
      <c r="J16" s="1">
        <f t="shared" si="2"/>
        <v>0</v>
      </c>
      <c r="K16" s="2" t="str" cm="1">
        <f t="array" ref="K16">_xlfn.LET(_xlpm.v,_xlfn.XLOOKUP(G16,tblValutazioni[TipoValutazione],tblValutazioni[BE],""),IF(_xlpm.v="","",_xlpm.v))</f>
        <v/>
      </c>
      <c r="L16" s="18">
        <f>IF(_xlfn.XLOOKUP($A16, tblRisposte[ItemKey], tblRisposte[Valore], "")="Bene",
  "X",
  0)</f>
        <v>0</v>
      </c>
      <c r="M16" s="1">
        <f t="shared" si="3"/>
        <v>0</v>
      </c>
      <c r="N16" s="2" cm="1">
        <f t="array" ref="N16">_xlfn.LET(_xlpm.v,_xlfn.XLOOKUP(G16,tblValutazioni[TipoValutazione],tblValutazioni[SU],""),IF(_xlpm.v="","",_xlpm.v))</f>
        <v>1</v>
      </c>
      <c r="O16" s="20">
        <f>IF(_xlfn.XLOOKUP($A16, tblRisposte[ItemKey], tblRisposte[Valore], "")="Soddisfacente","X",0)</f>
        <v>0</v>
      </c>
      <c r="P16" s="1">
        <f t="shared" si="4"/>
        <v>0</v>
      </c>
      <c r="Q16" s="2" t="str" cm="1">
        <f t="array" ref="Q16">_xlfn.LET(_xlpm.v,_xlfn.XLOOKUP(G16,tblValutazioni[TipoValutazione],tblValutazioni[IN],""),IF(_xlpm.v="","",_xlpm.v))</f>
        <v/>
      </c>
      <c r="R16" s="18">
        <f>IF(_xlfn.XLOOKUP($A16, tblRisposte[ItemKey], tblRisposte[Valore], "")="Insufficiente","X",0)</f>
        <v>0</v>
      </c>
      <c r="S16" s="1">
        <f t="shared" si="5"/>
        <v>0</v>
      </c>
      <c r="T16" s="2" cm="1">
        <f t="array" ref="T16">_xlfn.LET(_xlpm.v,_xlfn.XLOOKUP(G16,tblValutazioni[TipoValutazione],tblValutazioni[NE],""),IF(_xlpm.v="","",_xlpm.v))</f>
        <v>0</v>
      </c>
      <c r="U16" s="18">
        <f>IF(_xlfn.XLOOKUP($A16, tblRisposte[ItemKey], tblRisposte[Valore], "")="Non eseguito","X",0)</f>
        <v>0</v>
      </c>
      <c r="V16" s="1">
        <f t="shared" si="6"/>
        <v>0</v>
      </c>
      <c r="W16">
        <f t="shared" si="7"/>
        <v>0</v>
      </c>
      <c r="X16" t="str">
        <f t="shared" si="8"/>
        <v>errore</v>
      </c>
      <c r="Y16" t="str">
        <f>IF(E16="SEP",IF(I16="x",H16,IF(L16="X",K16,IF(O16="x",N16,IF(R16="X",Q16,IF(U16="X",T16,""))))),"")</f>
        <v/>
      </c>
    </row>
    <row r="17" spans="1:26" ht="15" customHeight="1">
      <c r="A17" t="str">
        <f>IF(G17&lt;&gt;"",ScenaAttiva&amp;"_"&amp;AB$4&amp;TEXT(COUNTIF($G$3:G17,"&lt;&gt;"),"0000"),"")</f>
        <v>A_MAS0013</v>
      </c>
      <c r="B17">
        <f>IF(A17&lt;&gt;"",SquadraAttiva,"")</f>
        <v>3</v>
      </c>
      <c r="C17" t="str">
        <f t="shared" si="1"/>
        <v>3-A_MAS0013</v>
      </c>
      <c r="D17">
        <f>IFERROR(_xlfn.XLOOKUP(C17,tblRisposte[idValutazione],tblRisposte[Valore],""),"")</f>
        <v>3</v>
      </c>
      <c r="F17" s="77" t="s">
        <v>83</v>
      </c>
      <c r="G17" t="s">
        <v>36</v>
      </c>
      <c r="H17" s="22" cm="1">
        <f t="array" ref="H17">_xlfn.LET(_xlpm.v,_xlfn.XLOOKUP(G17,tblValutazioni[TipoValutazione],tblValutazioni[MB],""),IF(_xlpm.v="","",_xlpm.v))</f>
        <v>3</v>
      </c>
      <c r="I17" s="20">
        <f>IF(_xlfn.XLOOKUP($A17, tblRisposte[ItemKey],tblRisposte[Valore],"")="Molto bene","X",0)</f>
        <v>0</v>
      </c>
      <c r="J17" s="1">
        <f t="shared" si="2"/>
        <v>0</v>
      </c>
      <c r="K17" s="2" t="str" cm="1">
        <f t="array" ref="K17">_xlfn.LET(_xlpm.v,_xlfn.XLOOKUP(G17,tblValutazioni[TipoValutazione],tblValutazioni[BE],""),IF(_xlpm.v="","",_xlpm.v))</f>
        <v/>
      </c>
      <c r="L17" s="18">
        <f>IF(_xlfn.XLOOKUP($A17, tblRisposte[ItemKey], tblRisposte[Valore], "")="Bene",
  "X",
  0)</f>
        <v>0</v>
      </c>
      <c r="M17" s="1">
        <f t="shared" si="3"/>
        <v>0</v>
      </c>
      <c r="N17" s="2" cm="1">
        <f t="array" ref="N17">_xlfn.LET(_xlpm.v,_xlfn.XLOOKUP(G17,tblValutazioni[TipoValutazione],tblValutazioni[SU],""),IF(_xlpm.v="","",_xlpm.v))</f>
        <v>1</v>
      </c>
      <c r="O17" s="20">
        <f>IF(_xlfn.XLOOKUP($A17, tblRisposte[ItemKey], tblRisposte[Valore], "")="Soddisfacente","X",0)</f>
        <v>0</v>
      </c>
      <c r="P17" s="1">
        <f t="shared" si="4"/>
        <v>0</v>
      </c>
      <c r="Q17" s="2" t="str" cm="1">
        <f t="array" ref="Q17">_xlfn.LET(_xlpm.v,_xlfn.XLOOKUP(G17,tblValutazioni[TipoValutazione],tblValutazioni[IN],""),IF(_xlpm.v="","",_xlpm.v))</f>
        <v/>
      </c>
      <c r="R17" s="18">
        <f>IF(_xlfn.XLOOKUP($A17, tblRisposte[ItemKey], tblRisposte[Valore], "")="Insufficiente","X",0)</f>
        <v>0</v>
      </c>
      <c r="S17" s="1">
        <f t="shared" si="5"/>
        <v>0</v>
      </c>
      <c r="T17" s="2" cm="1">
        <f t="array" ref="T17">_xlfn.LET(_xlpm.v,_xlfn.XLOOKUP(G17,tblValutazioni[TipoValutazione],tblValutazioni[NE],""),IF(_xlpm.v="","",_xlpm.v))</f>
        <v>0</v>
      </c>
      <c r="U17" s="18">
        <f>IF(_xlfn.XLOOKUP($A17, tblRisposte[ItemKey], tblRisposte[Valore], "")="Non eseguito","X",0)</f>
        <v>0</v>
      </c>
      <c r="V17" s="1">
        <f t="shared" si="6"/>
        <v>0</v>
      </c>
      <c r="W17">
        <f t="shared" si="7"/>
        <v>0</v>
      </c>
      <c r="X17" t="str">
        <f t="shared" si="8"/>
        <v>errore</v>
      </c>
      <c r="Y17" t="str">
        <f>IF(E17="SEP",IF(I17="x",H17,IF(L17="X",K17,IF(O17="x",N17,IF(R17="X",Q17,IF(U17="X",T17,""))))),"")</f>
        <v/>
      </c>
    </row>
    <row r="18" spans="1:26" ht="15" customHeight="1">
      <c r="A18" t="str">
        <f>IF(G18&lt;&gt;"",ScenaAttiva&amp;"_"&amp;AB$4&amp;TEXT(COUNTIF($G$3:G18,"&lt;&gt;"),"0000"),"")</f>
        <v>A_MAS0014</v>
      </c>
      <c r="B18">
        <f>IF(A18&lt;&gt;"",SquadraAttiva,"")</f>
        <v>3</v>
      </c>
      <c r="C18" t="str">
        <f t="shared" si="1"/>
        <v>3-A_MAS0014</v>
      </c>
      <c r="D18">
        <f>IFERROR(_xlfn.XLOOKUP(C18,tblRisposte[idValutazione],tblRisposte[Valore],""),"")</f>
        <v>0</v>
      </c>
      <c r="F18" s="77" t="s">
        <v>85</v>
      </c>
      <c r="G18" t="s">
        <v>36</v>
      </c>
      <c r="H18" s="22" cm="1">
        <f t="array" ref="H18">_xlfn.LET(_xlpm.v,_xlfn.XLOOKUP(G18,tblValutazioni[TipoValutazione],tblValutazioni[MB],""),IF(_xlpm.v="","",_xlpm.v))</f>
        <v>3</v>
      </c>
      <c r="I18" s="20">
        <f>IF(_xlfn.XLOOKUP($A18, tblRisposte[ItemKey],tblRisposte[Valore],"")="Molto bene","X",0)</f>
        <v>0</v>
      </c>
      <c r="J18" s="1">
        <f t="shared" si="2"/>
        <v>0</v>
      </c>
      <c r="K18" s="2" t="str" cm="1">
        <f t="array" ref="K18">_xlfn.LET(_xlpm.v,_xlfn.XLOOKUP(G18,tblValutazioni[TipoValutazione],tblValutazioni[BE],""),IF(_xlpm.v="","",_xlpm.v))</f>
        <v/>
      </c>
      <c r="L18" s="18">
        <f>IF(_xlfn.XLOOKUP($A18, tblRisposte[ItemKey], tblRisposte[Valore], "")="Bene",
  "X",
  0)</f>
        <v>0</v>
      </c>
      <c r="M18" s="1">
        <f t="shared" si="3"/>
        <v>0</v>
      </c>
      <c r="N18" s="2" cm="1">
        <f t="array" ref="N18">_xlfn.LET(_xlpm.v,_xlfn.XLOOKUP(G18,tblValutazioni[TipoValutazione],tblValutazioni[SU],""),IF(_xlpm.v="","",_xlpm.v))</f>
        <v>1</v>
      </c>
      <c r="O18" s="20">
        <f>IF(_xlfn.XLOOKUP($A18, tblRisposte[ItemKey], tblRisposte[Valore], "")="Soddisfacente","X",0)</f>
        <v>0</v>
      </c>
      <c r="P18" s="1">
        <f t="shared" si="4"/>
        <v>0</v>
      </c>
      <c r="Q18" s="2" t="str" cm="1">
        <f t="array" ref="Q18">_xlfn.LET(_xlpm.v,_xlfn.XLOOKUP(G18,tblValutazioni[TipoValutazione],tblValutazioni[IN],""),IF(_xlpm.v="","",_xlpm.v))</f>
        <v/>
      </c>
      <c r="R18" s="18">
        <f>IF(_xlfn.XLOOKUP($A18, tblRisposte[ItemKey], tblRisposte[Valore], "")="Insufficiente","X",0)</f>
        <v>0</v>
      </c>
      <c r="S18" s="1">
        <f t="shared" si="5"/>
        <v>0</v>
      </c>
      <c r="T18" s="2" cm="1">
        <f t="array" ref="T18">_xlfn.LET(_xlpm.v,_xlfn.XLOOKUP(G18,tblValutazioni[TipoValutazione],tblValutazioni[NE],""),IF(_xlpm.v="","",_xlpm.v))</f>
        <v>0</v>
      </c>
      <c r="U18" s="18">
        <f>IF(_xlfn.XLOOKUP($A18, tblRisposte[ItemKey], tblRisposte[Valore], "")="Non eseguito","X",0)</f>
        <v>0</v>
      </c>
      <c r="V18" s="1">
        <f t="shared" si="6"/>
        <v>0</v>
      </c>
      <c r="W18">
        <f t="shared" si="7"/>
        <v>0</v>
      </c>
      <c r="X18" t="str">
        <f t="shared" si="8"/>
        <v>errore</v>
      </c>
      <c r="Y18" t="str">
        <f>IF(E18="SEP",IF(I18="x",H18,IF(L18="X",K18,IF(O18="x",N18,IF(R18="X",Q18,IF(U18="X",T18,""))))),"")</f>
        <v/>
      </c>
    </row>
    <row r="19" spans="1:26" ht="15" customHeight="1">
      <c r="A19" t="str">
        <f>IF(G19&lt;&gt;"",ScenaAttiva&amp;"_"&amp;AB$4&amp;TEXT(COUNTIF($G$3:G19,"&lt;&gt;"),"0000"),"")</f>
        <v>A_MAS0015</v>
      </c>
      <c r="B19">
        <f>IF(A19&lt;&gt;"",SquadraAttiva,"")</f>
        <v>3</v>
      </c>
      <c r="C19" t="str">
        <f t="shared" si="1"/>
        <v>3-A_MAS0015</v>
      </c>
      <c r="D19">
        <f>IFERROR(_xlfn.XLOOKUP(C19,tblRisposte[idValutazione],tblRisposte[Valore],""),"")</f>
        <v>1</v>
      </c>
      <c r="F19" s="77" t="s">
        <v>87</v>
      </c>
      <c r="G19" t="s">
        <v>36</v>
      </c>
      <c r="H19" s="22" cm="1">
        <f t="array" ref="H19">_xlfn.LET(_xlpm.v,_xlfn.XLOOKUP(G19,tblValutazioni[TipoValutazione],tblValutazioni[MB],""),IF(_xlpm.v="","",_xlpm.v))</f>
        <v>3</v>
      </c>
      <c r="I19" s="20">
        <f>IF(_xlfn.XLOOKUP($A19, tblRisposte[ItemKey],tblRisposte[Valore],"")="Molto bene","X",0)</f>
        <v>0</v>
      </c>
      <c r="J19" s="1">
        <f t="shared" si="2"/>
        <v>0</v>
      </c>
      <c r="K19" s="2" t="str" cm="1">
        <f t="array" ref="K19">_xlfn.LET(_xlpm.v,_xlfn.XLOOKUP(G19,tblValutazioni[TipoValutazione],tblValutazioni[BE],""),IF(_xlpm.v="","",_xlpm.v))</f>
        <v/>
      </c>
      <c r="L19" s="18">
        <f>IF(_xlfn.XLOOKUP($A19, tblRisposte[ItemKey], tblRisposte[Valore], "")="Bene",
  "X",
  0)</f>
        <v>0</v>
      </c>
      <c r="M19" s="1">
        <f t="shared" si="3"/>
        <v>0</v>
      </c>
      <c r="N19" s="2" cm="1">
        <f t="array" ref="N19">_xlfn.LET(_xlpm.v,_xlfn.XLOOKUP(G19,tblValutazioni[TipoValutazione],tblValutazioni[SU],""),IF(_xlpm.v="","",_xlpm.v))</f>
        <v>1</v>
      </c>
      <c r="O19" s="20">
        <f>IF(_xlfn.XLOOKUP($A19, tblRisposte[ItemKey], tblRisposte[Valore], "")="Soddisfacente","X",0)</f>
        <v>0</v>
      </c>
      <c r="P19" s="1">
        <f t="shared" si="4"/>
        <v>0</v>
      </c>
      <c r="Q19" s="2" t="str" cm="1">
        <f t="array" ref="Q19">_xlfn.LET(_xlpm.v,_xlfn.XLOOKUP(G19,tblValutazioni[TipoValutazione],tblValutazioni[IN],""),IF(_xlpm.v="","",_xlpm.v))</f>
        <v/>
      </c>
      <c r="R19" s="18">
        <f>IF(_xlfn.XLOOKUP($A19, tblRisposte[ItemKey], tblRisposte[Valore], "")="Insufficiente","X",0)</f>
        <v>0</v>
      </c>
      <c r="S19" s="1">
        <f t="shared" si="5"/>
        <v>0</v>
      </c>
      <c r="T19" s="2" cm="1">
        <f t="array" ref="T19">_xlfn.LET(_xlpm.v,_xlfn.XLOOKUP(G19,tblValutazioni[TipoValutazione],tblValutazioni[NE],""),IF(_xlpm.v="","",_xlpm.v))</f>
        <v>0</v>
      </c>
      <c r="U19" s="18">
        <f>IF(_xlfn.XLOOKUP($A19, tblRisposte[ItemKey], tblRisposte[Valore], "")="Non eseguito","X",0)</f>
        <v>0</v>
      </c>
      <c r="V19" s="1">
        <f t="shared" si="6"/>
        <v>0</v>
      </c>
      <c r="W19">
        <f t="shared" si="7"/>
        <v>0</v>
      </c>
      <c r="X19" t="str">
        <f t="shared" si="8"/>
        <v>errore</v>
      </c>
    </row>
    <row r="20" spans="1:26" ht="15" customHeight="1">
      <c r="A20" t="str">
        <f>IF(G20&lt;&gt;"",ScenaAttiva&amp;"_"&amp;AB$4&amp;TEXT(COUNTIF($G$3:G20,"&lt;&gt;"),"0000"),"")</f>
        <v>A_MAS0016</v>
      </c>
      <c r="B20">
        <f>IF(A20&lt;&gt;"",SquadraAttiva,"")</f>
        <v>3</v>
      </c>
      <c r="C20" t="str">
        <f t="shared" si="1"/>
        <v>3-A_MAS0016</v>
      </c>
      <c r="D20">
        <f>IFERROR(_xlfn.XLOOKUP(C20,tblRisposte[idValutazione],tblRisposte[Valore],""),"")</f>
        <v>4</v>
      </c>
      <c r="F20" s="77" t="s">
        <v>89</v>
      </c>
      <c r="G20" t="s">
        <v>35</v>
      </c>
      <c r="H20" s="22" cm="1">
        <f t="array" ref="H20">_xlfn.LET(_xlpm.v,_xlfn.XLOOKUP(G20,tblValutazioni[TipoValutazione],tblValutazioni[MB],""),IF(_xlpm.v="","",_xlpm.v))</f>
        <v>5</v>
      </c>
      <c r="I20" s="20">
        <f>IF(_xlfn.XLOOKUP($A20, tblRisposte[ItemKey],tblRisposte[Valore],"")="Molto bene","X",0)</f>
        <v>0</v>
      </c>
      <c r="J20" s="1">
        <f t="shared" si="2"/>
        <v>0</v>
      </c>
      <c r="K20" s="2" cm="1">
        <f t="array" ref="K20">_xlfn.LET(_xlpm.v,_xlfn.XLOOKUP(G20,tblValutazioni[TipoValutazione],tblValutazioni[BE],""),IF(_xlpm.v="","",_xlpm.v))</f>
        <v>4</v>
      </c>
      <c r="L20" s="18">
        <f>IF(_xlfn.XLOOKUP($A20, tblRisposte[ItemKey], tblRisposte[Valore], "")="Bene",
  "X",
  0)</f>
        <v>0</v>
      </c>
      <c r="M20" s="1">
        <f t="shared" si="3"/>
        <v>0</v>
      </c>
      <c r="N20" s="2" cm="1">
        <f t="array" ref="N20">_xlfn.LET(_xlpm.v,_xlfn.XLOOKUP(G20,tblValutazioni[TipoValutazione],tblValutazioni[SU],""),IF(_xlpm.v="","",_xlpm.v))</f>
        <v>2</v>
      </c>
      <c r="O20" s="20">
        <f>IF(_xlfn.XLOOKUP($A20, tblRisposte[ItemKey], tblRisposte[Valore], "")="Soddisfacente","X",0)</f>
        <v>0</v>
      </c>
      <c r="P20" s="1">
        <f t="shared" si="4"/>
        <v>0</v>
      </c>
      <c r="Q20" s="2" cm="1">
        <f t="array" ref="Q20">_xlfn.LET(_xlpm.v,_xlfn.XLOOKUP(G20,tblValutazioni[TipoValutazione],tblValutazioni[IN],""),IF(_xlpm.v="","",_xlpm.v))</f>
        <v>1</v>
      </c>
      <c r="R20" s="18">
        <f>IF(_xlfn.XLOOKUP($A20, tblRisposte[ItemKey], tblRisposte[Valore], "")="Insufficiente","X",0)</f>
        <v>0</v>
      </c>
      <c r="S20" s="1">
        <f t="shared" si="5"/>
        <v>0</v>
      </c>
      <c r="T20" s="2" cm="1">
        <f t="array" ref="T20">_xlfn.LET(_xlpm.v,_xlfn.XLOOKUP(G20,tblValutazioni[TipoValutazione],tblValutazioni[NE],""),IF(_xlpm.v="","",_xlpm.v))</f>
        <v>0</v>
      </c>
      <c r="U20" s="18">
        <f>IF(_xlfn.XLOOKUP($A20, tblRisposte[ItemKey], tblRisposte[Valore], "")="Non eseguito","X",0)</f>
        <v>0</v>
      </c>
      <c r="V20" s="1">
        <f t="shared" si="6"/>
        <v>0</v>
      </c>
      <c r="W20">
        <f t="shared" si="7"/>
        <v>0</v>
      </c>
      <c r="X20" t="str">
        <f t="shared" si="8"/>
        <v>errore</v>
      </c>
      <c r="Y20" t="str">
        <f>IF(E20="SEP",IF(I20="x",H20,IF(L20="X",K20,IF(O20="x",N20,IF(R20="X",Q20,IF(U20="X",T20,""))))),"")</f>
        <v/>
      </c>
    </row>
    <row r="21" spans="1:26" ht="15" customHeight="1">
      <c r="A21" t="str">
        <f>IF(G21&lt;&gt;"",ScenaAttiva&amp;"_"&amp;AB$4&amp;TEXT(COUNTIF($G$3:G21,"&lt;&gt;"),"0000"),"")</f>
        <v/>
      </c>
      <c r="B21" t="str">
        <f>IF(A21&lt;&gt;"",SquadraAttiva,"")</f>
        <v/>
      </c>
      <c r="C21" t="str">
        <f t="shared" si="1"/>
        <v/>
      </c>
      <c r="D21" t="str">
        <f>IFERROR(_xlfn.XLOOKUP(C21,tblRisposte[idValutazione],tblRisposte[Valore],""),"")</f>
        <v/>
      </c>
      <c r="F21" s="76" t="s">
        <v>91</v>
      </c>
      <c r="H21" s="22" t="str" cm="1">
        <f t="array" ref="H21">_xlfn.LET(_xlpm.v,_xlfn.XLOOKUP(G21,tblValutazioni[TipoValutazione],tblValutazioni[MB],""),IF(_xlpm.v="","",_xlpm.v))</f>
        <v/>
      </c>
      <c r="I21" s="20">
        <f>IF(_xlfn.XLOOKUP($A21, tblRisposte[ItemKey],tblRisposte[Valore],"")="Molto bene","X",0)</f>
        <v>0</v>
      </c>
      <c r="J21" s="1">
        <f t="shared" si="2"/>
        <v>0</v>
      </c>
      <c r="K21" s="2" t="str" cm="1">
        <f t="array" ref="K21">_xlfn.LET(_xlpm.v,_xlfn.XLOOKUP(G21,tblValutazioni[TipoValutazione],tblValutazioni[BE],""),IF(_xlpm.v="","",_xlpm.v))</f>
        <v/>
      </c>
      <c r="L21" s="18">
        <f>IF(_xlfn.XLOOKUP($A21, tblRisposte[ItemKey], tblRisposte[Valore], "")="Bene",
  "X",
  0)</f>
        <v>0</v>
      </c>
      <c r="M21" s="1">
        <f t="shared" si="3"/>
        <v>0</v>
      </c>
      <c r="N21" s="2" t="str" cm="1">
        <f t="array" ref="N21">_xlfn.LET(_xlpm.v,_xlfn.XLOOKUP(G21,tblValutazioni[TipoValutazione],tblValutazioni[SU],""),IF(_xlpm.v="","",_xlpm.v))</f>
        <v/>
      </c>
      <c r="O21" s="20">
        <f>IF(_xlfn.XLOOKUP($A21, tblRisposte[ItemKey], tblRisposte[Valore], "")="Soddisfacente","X",0)</f>
        <v>0</v>
      </c>
      <c r="P21" s="1">
        <f t="shared" si="4"/>
        <v>0</v>
      </c>
      <c r="Q21" s="2" t="str" cm="1">
        <f t="array" ref="Q21">_xlfn.LET(_xlpm.v,_xlfn.XLOOKUP(G21,tblValutazioni[TipoValutazione],tblValutazioni[IN],""),IF(_xlpm.v="","",_xlpm.v))</f>
        <v/>
      </c>
      <c r="R21" s="18">
        <f>IF(_xlfn.XLOOKUP($A21, tblRisposte[ItemKey], tblRisposte[Valore], "")="Insufficiente","X",0)</f>
        <v>0</v>
      </c>
      <c r="S21" s="1">
        <f t="shared" si="5"/>
        <v>0</v>
      </c>
      <c r="T21" s="2" t="str" cm="1">
        <f t="array" ref="T21">_xlfn.LET(_xlpm.v,_xlfn.XLOOKUP(G21,tblValutazioni[TipoValutazione],tblValutazioni[NE],""),IF(_xlpm.v="","",_xlpm.v))</f>
        <v/>
      </c>
      <c r="U21" s="18">
        <f>IF(_xlfn.XLOOKUP($A21, tblRisposte[ItemKey], tblRisposte[Valore], "")="Non eseguito","X",0)</f>
        <v>0</v>
      </c>
      <c r="V21" s="1">
        <f t="shared" si="6"/>
        <v>0</v>
      </c>
      <c r="W21">
        <f t="shared" si="7"/>
        <v>0</v>
      </c>
      <c r="X21" t="str">
        <f t="shared" si="8"/>
        <v>errore</v>
      </c>
      <c r="Y21" t="str">
        <f>IF(E21="SEP",IF(I21="x",H21,IF(L21="X",K21,IF(O21="x",N21,IF(R21="X",Q21,IF(U21="X",T21,""))))),"")</f>
        <v/>
      </c>
    </row>
    <row r="22" spans="1:26" ht="15" customHeight="1">
      <c r="A22" t="str">
        <f>IF(G22&lt;&gt;"",ScenaAttiva&amp;"_"&amp;AB$4&amp;TEXT(COUNTIF($G$3:G22,"&lt;&gt;"),"0000"),"")</f>
        <v>A_MAS0017</v>
      </c>
      <c r="B22">
        <f>IF(A22&lt;&gt;"",SquadraAttiva,"")</f>
        <v>3</v>
      </c>
      <c r="C22" t="str">
        <f t="shared" si="1"/>
        <v>3-A_MAS0017</v>
      </c>
      <c r="D22">
        <f>IFERROR(_xlfn.XLOOKUP(C22,tblRisposte[idValutazione],tblRisposte[Valore],""),"")</f>
        <v>4</v>
      </c>
      <c r="E22" t="s">
        <v>653</v>
      </c>
      <c r="F22" s="78" t="s">
        <v>93</v>
      </c>
      <c r="G22" t="s">
        <v>35</v>
      </c>
      <c r="H22" s="22" cm="1">
        <f t="array" ref="H22">_xlfn.LET(_xlpm.v,_xlfn.XLOOKUP(G22,tblValutazioni[TipoValutazione],tblValutazioni[MB],""),IF(_xlpm.v="","",_xlpm.v))</f>
        <v>5</v>
      </c>
      <c r="I22" s="20">
        <f>IF(_xlfn.XLOOKUP($A22, tblRisposte[ItemKey],tblRisposte[Valore],"")="Molto bene","X",0)</f>
        <v>0</v>
      </c>
      <c r="J22" s="1">
        <f t="shared" si="2"/>
        <v>0</v>
      </c>
      <c r="K22" s="2" cm="1">
        <f t="array" ref="K22">_xlfn.LET(_xlpm.v,_xlfn.XLOOKUP(G22,tblValutazioni[TipoValutazione],tblValutazioni[BE],""),IF(_xlpm.v="","",_xlpm.v))</f>
        <v>4</v>
      </c>
      <c r="L22" s="18">
        <f>IF(_xlfn.XLOOKUP($A22, tblRisposte[ItemKey], tblRisposte[Valore], "")="Bene",
  "X",
  0)</f>
        <v>0</v>
      </c>
      <c r="M22" s="1">
        <f t="shared" si="3"/>
        <v>0</v>
      </c>
      <c r="N22" s="2" cm="1">
        <f t="array" ref="N22">_xlfn.LET(_xlpm.v,_xlfn.XLOOKUP(G22,tblValutazioni[TipoValutazione],tblValutazioni[SU],""),IF(_xlpm.v="","",_xlpm.v))</f>
        <v>2</v>
      </c>
      <c r="O22" s="20">
        <f>IF(_xlfn.XLOOKUP($A22, tblRisposte[ItemKey], tblRisposte[Valore], "")="Soddisfacente","X",0)</f>
        <v>0</v>
      </c>
      <c r="P22" s="1">
        <f t="shared" si="4"/>
        <v>0</v>
      </c>
      <c r="Q22" s="2" cm="1">
        <f t="array" ref="Q22">_xlfn.LET(_xlpm.v,_xlfn.XLOOKUP(G22,tblValutazioni[TipoValutazione],tblValutazioni[IN],""),IF(_xlpm.v="","",_xlpm.v))</f>
        <v>1</v>
      </c>
      <c r="R22" s="18">
        <f>IF(_xlfn.XLOOKUP($A22, tblRisposte[ItemKey], tblRisposte[Valore], "")="Insufficiente","X",0)</f>
        <v>0</v>
      </c>
      <c r="S22" s="1">
        <f t="shared" si="5"/>
        <v>0</v>
      </c>
      <c r="T22" s="2" cm="1">
        <f t="array" ref="T22">_xlfn.LET(_xlpm.v,_xlfn.XLOOKUP(G22,tblValutazioni[TipoValutazione],tblValutazioni[NE],""),IF(_xlpm.v="","",_xlpm.v))</f>
        <v>0</v>
      </c>
      <c r="U22" s="18">
        <f>IF(_xlfn.XLOOKUP($A22, tblRisposte[ItemKey], tblRisposte[Valore], "")="Non eseguito","X",0)</f>
        <v>0</v>
      </c>
      <c r="V22" s="1">
        <f t="shared" si="6"/>
        <v>0</v>
      </c>
      <c r="W22">
        <f t="shared" si="7"/>
        <v>0</v>
      </c>
      <c r="X22" t="str">
        <f t="shared" si="8"/>
        <v>errore</v>
      </c>
      <c r="Y22" t="str">
        <f>IF(E22="SEP",IF(I22="x",H22,IF(L22="X",K22,IF(O22="x",N22,IF(R22="X",Q22,IF(U22="X",T22,""))))),"")</f>
        <v/>
      </c>
    </row>
    <row r="23" spans="1:26" ht="15" customHeight="1">
      <c r="A23" t="str">
        <f>IF(G23&lt;&gt;"",ScenaAttiva&amp;"_"&amp;AB$4&amp;TEXT(COUNTIF($G$3:G23,"&lt;&gt;"),"0000"),"")</f>
        <v>A_MAS0018</v>
      </c>
      <c r="B23">
        <f>IF(A23&lt;&gt;"",SquadraAttiva,"")</f>
        <v>3</v>
      </c>
      <c r="C23" t="str">
        <f t="shared" si="1"/>
        <v>3-A_MAS0018</v>
      </c>
      <c r="D23">
        <f>IFERROR(_xlfn.XLOOKUP(C23,tblRisposte[idValutazione],tblRisposte[Valore],""),"")</f>
        <v>2</v>
      </c>
      <c r="E23" t="s">
        <v>653</v>
      </c>
      <c r="F23" s="78" t="s">
        <v>95</v>
      </c>
      <c r="G23" t="s">
        <v>35</v>
      </c>
      <c r="H23" s="22" cm="1">
        <f t="array" ref="H23">_xlfn.LET(_xlpm.v,_xlfn.XLOOKUP(G23,tblValutazioni[TipoValutazione],tblValutazioni[MB],""),IF(_xlpm.v="","",_xlpm.v))</f>
        <v>5</v>
      </c>
      <c r="I23" s="20">
        <f>IF(_xlfn.XLOOKUP($A23, tblRisposte[ItemKey],tblRisposte[Valore],"")="Molto bene","X",0)</f>
        <v>0</v>
      </c>
      <c r="J23" s="1">
        <f t="shared" si="2"/>
        <v>0</v>
      </c>
      <c r="K23" s="2" cm="1">
        <f t="array" ref="K23">_xlfn.LET(_xlpm.v,_xlfn.XLOOKUP(G23,tblValutazioni[TipoValutazione],tblValutazioni[BE],""),IF(_xlpm.v="","",_xlpm.v))</f>
        <v>4</v>
      </c>
      <c r="L23" s="18">
        <f>IF(_xlfn.XLOOKUP($A23, tblRisposte[ItemKey], tblRisposte[Valore], "")="Bene",
  "X",
  0)</f>
        <v>0</v>
      </c>
      <c r="M23" s="1">
        <f t="shared" si="3"/>
        <v>0</v>
      </c>
      <c r="N23" s="2" cm="1">
        <f t="array" ref="N23">_xlfn.LET(_xlpm.v,_xlfn.XLOOKUP(G23,tblValutazioni[TipoValutazione],tblValutazioni[SU],""),IF(_xlpm.v="","",_xlpm.v))</f>
        <v>2</v>
      </c>
      <c r="O23" s="20">
        <f>IF(_xlfn.XLOOKUP($A23, tblRisposte[ItemKey], tblRisposte[Valore], "")="Soddisfacente","X",0)</f>
        <v>0</v>
      </c>
      <c r="P23" s="1">
        <f t="shared" si="4"/>
        <v>0</v>
      </c>
      <c r="Q23" s="2" cm="1">
        <f t="array" ref="Q23">_xlfn.LET(_xlpm.v,_xlfn.XLOOKUP(G23,tblValutazioni[TipoValutazione],tblValutazioni[IN],""),IF(_xlpm.v="","",_xlpm.v))</f>
        <v>1</v>
      </c>
      <c r="R23" s="18">
        <f>IF(_xlfn.XLOOKUP($A23, tblRisposte[ItemKey], tblRisposte[Valore], "")="Insufficiente","X",0)</f>
        <v>0</v>
      </c>
      <c r="S23" s="1">
        <f t="shared" si="5"/>
        <v>0</v>
      </c>
      <c r="T23" s="2" cm="1">
        <f t="array" ref="T23">_xlfn.LET(_xlpm.v,_xlfn.XLOOKUP(G23,tblValutazioni[TipoValutazione],tblValutazioni[NE],""),IF(_xlpm.v="","",_xlpm.v))</f>
        <v>0</v>
      </c>
      <c r="U23" s="18">
        <f>IF(_xlfn.XLOOKUP($A23, tblRisposte[ItemKey], tblRisposte[Valore], "")="Non eseguito","X",0)</f>
        <v>0</v>
      </c>
      <c r="V23" s="1">
        <f t="shared" si="6"/>
        <v>0</v>
      </c>
      <c r="W23">
        <f t="shared" si="7"/>
        <v>0</v>
      </c>
      <c r="X23" t="str">
        <f t="shared" si="8"/>
        <v>errore</v>
      </c>
      <c r="Y23" t="str">
        <f>IF(E23="SEP",IF(I23="x",H23,IF(L23="X",K23,IF(O23="x",N23,IF(R23="X",Q23,IF(U23="X",T23,""))))),"")</f>
        <v/>
      </c>
      <c r="Z23" t="str">
        <f>INDEX(tblMapSchede[[#All],[SIGLA]],3)</f>
        <v>PBL</v>
      </c>
    </row>
    <row r="24" spans="1:26" ht="15" customHeight="1">
      <c r="A24" t="str">
        <f>IF(G24&lt;&gt;"",ScenaAttiva&amp;"_"&amp;AB$4&amp;TEXT(COUNTIF($G$3:G24,"&lt;&gt;"),"0000"),"")</f>
        <v>A_MAS0019</v>
      </c>
      <c r="B24">
        <f>IF(A24&lt;&gt;"",SquadraAttiva,"")</f>
        <v>3</v>
      </c>
      <c r="C24" t="str">
        <f t="shared" si="1"/>
        <v>3-A_MAS0019</v>
      </c>
      <c r="D24">
        <f>IFERROR(_xlfn.XLOOKUP(C24,tblRisposte[idValutazione],tblRisposte[Valore],""),"")</f>
        <v>2</v>
      </c>
      <c r="E24" t="s">
        <v>653</v>
      </c>
      <c r="F24" s="78" t="s">
        <v>97</v>
      </c>
      <c r="G24" t="s">
        <v>35</v>
      </c>
      <c r="H24" s="22" cm="1">
        <f t="array" ref="H24">_xlfn.LET(_xlpm.v,_xlfn.XLOOKUP(G24,tblValutazioni[TipoValutazione],tblValutazioni[MB],""),IF(_xlpm.v="","",_xlpm.v))</f>
        <v>5</v>
      </c>
      <c r="I24" s="20">
        <f>IF(_xlfn.XLOOKUP($A24, tblRisposte[ItemKey],tblRisposte[Valore],"")="Molto bene","X",0)</f>
        <v>0</v>
      </c>
      <c r="J24" s="1">
        <f t="shared" si="2"/>
        <v>0</v>
      </c>
      <c r="K24" s="2" cm="1">
        <f t="array" ref="K24">_xlfn.LET(_xlpm.v,_xlfn.XLOOKUP(G24,tblValutazioni[TipoValutazione],tblValutazioni[BE],""),IF(_xlpm.v="","",_xlpm.v))</f>
        <v>4</v>
      </c>
      <c r="L24" s="18">
        <f>IF(_xlfn.XLOOKUP($A24, tblRisposte[ItemKey], tblRisposte[Valore], "")="Bene",
  "X",
  0)</f>
        <v>0</v>
      </c>
      <c r="M24" s="1">
        <f t="shared" si="3"/>
        <v>0</v>
      </c>
      <c r="N24" s="2" cm="1">
        <f t="array" ref="N24">_xlfn.LET(_xlpm.v,_xlfn.XLOOKUP(G24,tblValutazioni[TipoValutazione],tblValutazioni[SU],""),IF(_xlpm.v="","",_xlpm.v))</f>
        <v>2</v>
      </c>
      <c r="O24" s="20">
        <f>IF(_xlfn.XLOOKUP($A24, tblRisposte[ItemKey], tblRisposte[Valore], "")="Soddisfacente","X",0)</f>
        <v>0</v>
      </c>
      <c r="P24" s="1">
        <f t="shared" si="4"/>
        <v>0</v>
      </c>
      <c r="Q24" s="2" cm="1">
        <f t="array" ref="Q24">_xlfn.LET(_xlpm.v,_xlfn.XLOOKUP(G24,tblValutazioni[TipoValutazione],tblValutazioni[IN],""),IF(_xlpm.v="","",_xlpm.v))</f>
        <v>1</v>
      </c>
      <c r="R24" s="18">
        <f>IF(_xlfn.XLOOKUP($A24, tblRisposte[ItemKey], tblRisposte[Valore], "")="Insufficiente","X",0)</f>
        <v>0</v>
      </c>
      <c r="S24" s="1">
        <f t="shared" si="5"/>
        <v>0</v>
      </c>
      <c r="T24" s="2" cm="1">
        <f t="array" ref="T24">_xlfn.LET(_xlpm.v,_xlfn.XLOOKUP(G24,tblValutazioni[TipoValutazione],tblValutazioni[NE],""),IF(_xlpm.v="","",_xlpm.v))</f>
        <v>0</v>
      </c>
      <c r="U24" s="18">
        <f>IF(_xlfn.XLOOKUP($A24, tblRisposte[ItemKey], tblRisposte[Valore], "")="Non eseguito","X",0)</f>
        <v>0</v>
      </c>
      <c r="V24" s="1">
        <f t="shared" si="6"/>
        <v>0</v>
      </c>
      <c r="W24">
        <f t="shared" si="7"/>
        <v>0</v>
      </c>
      <c r="X24" t="str">
        <f t="shared" si="8"/>
        <v>errore</v>
      </c>
      <c r="Y24" t="str">
        <f>IF(E24="SEP",IF(I24="x",H24,IF(L24="X",K24,IF(O24="x",N24,IF(R24="X",Q24,IF(U24="X",T24,""))))),"")</f>
        <v/>
      </c>
    </row>
    <row r="25" spans="1:26" ht="15" customHeight="1">
      <c r="A25" t="str">
        <f>IF(G25&lt;&gt;"",ScenaAttiva&amp;"_"&amp;AB$4&amp;TEXT(COUNTIF($G$3:G25,"&lt;&gt;"),"0000"),"")</f>
        <v>A_MAS0020</v>
      </c>
      <c r="B25">
        <f>IF(A25&lt;&gt;"",SquadraAttiva,"")</f>
        <v>3</v>
      </c>
      <c r="C25" t="str">
        <f t="shared" si="1"/>
        <v>3-A_MAS0020</v>
      </c>
      <c r="D25">
        <f>IFERROR(_xlfn.XLOOKUP(C25,tblRisposte[idValutazione],tblRisposte[Valore],""),"")</f>
        <v>2</v>
      </c>
      <c r="E25" t="s">
        <v>653</v>
      </c>
      <c r="F25" s="78" t="s">
        <v>99</v>
      </c>
      <c r="G25" t="s">
        <v>35</v>
      </c>
      <c r="H25" s="22" cm="1">
        <f t="array" ref="H25">_xlfn.LET(_xlpm.v,_xlfn.XLOOKUP(G25,tblValutazioni[TipoValutazione],tblValutazioni[MB],""),IF(_xlpm.v="","",_xlpm.v))</f>
        <v>5</v>
      </c>
      <c r="I25" s="20">
        <f>IF(_xlfn.XLOOKUP($A25, tblRisposte[ItemKey],tblRisposte[Valore],"")="Molto bene","X",0)</f>
        <v>0</v>
      </c>
      <c r="J25" s="1">
        <f t="shared" si="2"/>
        <v>0</v>
      </c>
      <c r="K25" s="2" cm="1">
        <f t="array" ref="K25">_xlfn.LET(_xlpm.v,_xlfn.XLOOKUP(G25,tblValutazioni[TipoValutazione],tblValutazioni[BE],""),IF(_xlpm.v="","",_xlpm.v))</f>
        <v>4</v>
      </c>
      <c r="L25" s="18">
        <f>IF(_xlfn.XLOOKUP($A25, tblRisposte[ItemKey], tblRisposte[Valore], "")="Bene",
  "X",
  0)</f>
        <v>0</v>
      </c>
      <c r="M25" s="1">
        <f t="shared" si="3"/>
        <v>0</v>
      </c>
      <c r="N25" s="2" cm="1">
        <f t="array" ref="N25">_xlfn.LET(_xlpm.v,_xlfn.XLOOKUP(G25,tblValutazioni[TipoValutazione],tblValutazioni[SU],""),IF(_xlpm.v="","",_xlpm.v))</f>
        <v>2</v>
      </c>
      <c r="O25" s="20">
        <f>IF(_xlfn.XLOOKUP($A25, tblRisposte[ItemKey], tblRisposte[Valore], "")="Soddisfacente","X",0)</f>
        <v>0</v>
      </c>
      <c r="P25" s="1">
        <f t="shared" si="4"/>
        <v>0</v>
      </c>
      <c r="Q25" s="2" cm="1">
        <f t="array" ref="Q25">_xlfn.LET(_xlpm.v,_xlfn.XLOOKUP(G25,tblValutazioni[TipoValutazione],tblValutazioni[IN],""),IF(_xlpm.v="","",_xlpm.v))</f>
        <v>1</v>
      </c>
      <c r="R25" s="18">
        <f>IF(_xlfn.XLOOKUP($A25, tblRisposte[ItemKey], tblRisposte[Valore], "")="Insufficiente","X",0)</f>
        <v>0</v>
      </c>
      <c r="S25" s="1">
        <f t="shared" si="5"/>
        <v>0</v>
      </c>
      <c r="T25" s="2" cm="1">
        <f t="array" ref="T25">_xlfn.LET(_xlpm.v,_xlfn.XLOOKUP(G25,tblValutazioni[TipoValutazione],tblValutazioni[NE],""),IF(_xlpm.v="","",_xlpm.v))</f>
        <v>0</v>
      </c>
      <c r="U25" s="18">
        <f>IF(_xlfn.XLOOKUP($A25, tblRisposte[ItemKey], tblRisposte[Valore], "")="Non eseguito","X",0)</f>
        <v>0</v>
      </c>
      <c r="V25" s="1">
        <f t="shared" si="6"/>
        <v>0</v>
      </c>
      <c r="W25">
        <f t="shared" si="7"/>
        <v>0</v>
      </c>
      <c r="X25" t="str">
        <f t="shared" si="8"/>
        <v>errore</v>
      </c>
      <c r="Y25" t="str">
        <f>IF(E25="SEP",IF(I25="x",H25,IF(L25="X",K25,IF(O25="x",N25,IF(R25="X",Q25,IF(U25="X",T25,""))))),"")</f>
        <v/>
      </c>
    </row>
    <row r="26" spans="1:26" ht="15" customHeight="1">
      <c r="A26" t="str">
        <f>IF(G26&lt;&gt;"",ScenaAttiva&amp;"_"&amp;AB$4&amp;TEXT(COUNTIF($G$3:G26,"&lt;&gt;"),"0000"),"")</f>
        <v>A_MAS0021</v>
      </c>
      <c r="B26">
        <f>IF(A26&lt;&gt;"",SquadraAttiva,"")</f>
        <v>3</v>
      </c>
      <c r="C26" t="str">
        <f t="shared" si="1"/>
        <v>3-A_MAS0021</v>
      </c>
      <c r="D26">
        <f>IFERROR(_xlfn.XLOOKUP(C26,tblRisposte[idValutazione],tblRisposte[Valore],""),"")</f>
        <v>4</v>
      </c>
      <c r="E26" t="s">
        <v>653</v>
      </c>
      <c r="F26" s="78" t="s">
        <v>101</v>
      </c>
      <c r="G26" t="s">
        <v>35</v>
      </c>
      <c r="H26" s="22" cm="1">
        <f t="array" ref="H26">_xlfn.LET(_xlpm.v,_xlfn.XLOOKUP(G26,tblValutazioni[TipoValutazione],tblValutazioni[MB],""),IF(_xlpm.v="","",_xlpm.v))</f>
        <v>5</v>
      </c>
      <c r="I26" s="20">
        <f>IF(_xlfn.XLOOKUP($A26, tblRisposte[ItemKey],tblRisposte[Valore],"")="Molto bene","X",0)</f>
        <v>0</v>
      </c>
      <c r="J26" s="1">
        <f t="shared" si="2"/>
        <v>0</v>
      </c>
      <c r="K26" s="2" cm="1">
        <f t="array" ref="K26">_xlfn.LET(_xlpm.v,_xlfn.XLOOKUP(G26,tblValutazioni[TipoValutazione],tblValutazioni[BE],""),IF(_xlpm.v="","",_xlpm.v))</f>
        <v>4</v>
      </c>
      <c r="L26" s="18">
        <f>IF(_xlfn.XLOOKUP($A26, tblRisposte[ItemKey], tblRisposte[Valore], "")="Bene",
  "X",
  0)</f>
        <v>0</v>
      </c>
      <c r="M26" s="1">
        <f t="shared" si="3"/>
        <v>0</v>
      </c>
      <c r="N26" s="2" cm="1">
        <f t="array" ref="N26">_xlfn.LET(_xlpm.v,_xlfn.XLOOKUP(G26,tblValutazioni[TipoValutazione],tblValutazioni[SU],""),IF(_xlpm.v="","",_xlpm.v))</f>
        <v>2</v>
      </c>
      <c r="O26" s="20">
        <f>IF(_xlfn.XLOOKUP($A26, tblRisposte[ItemKey], tblRisposte[Valore], "")="Soddisfacente","X",0)</f>
        <v>0</v>
      </c>
      <c r="P26" s="1">
        <f t="shared" si="4"/>
        <v>0</v>
      </c>
      <c r="Q26" s="2" cm="1">
        <f t="array" ref="Q26">_xlfn.LET(_xlpm.v,_xlfn.XLOOKUP(G26,tblValutazioni[TipoValutazione],tblValutazioni[IN],""),IF(_xlpm.v="","",_xlpm.v))</f>
        <v>1</v>
      </c>
      <c r="R26" s="18">
        <f>IF(_xlfn.XLOOKUP($A26, tblRisposte[ItemKey], tblRisposte[Valore], "")="Insufficiente","X",0)</f>
        <v>0</v>
      </c>
      <c r="S26" s="1">
        <f t="shared" si="5"/>
        <v>0</v>
      </c>
      <c r="T26" s="2" cm="1">
        <f t="array" ref="T26">_xlfn.LET(_xlpm.v,_xlfn.XLOOKUP(G26,tblValutazioni[TipoValutazione],tblValutazioni[NE],""),IF(_xlpm.v="","",_xlpm.v))</f>
        <v>0</v>
      </c>
      <c r="U26" s="18">
        <f>IF(_xlfn.XLOOKUP($A26, tblRisposte[ItemKey], tblRisposte[Valore], "")="Non eseguito","X",0)</f>
        <v>0</v>
      </c>
      <c r="V26" s="1">
        <f t="shared" si="6"/>
        <v>0</v>
      </c>
      <c r="W26">
        <f t="shared" si="7"/>
        <v>0</v>
      </c>
      <c r="X26" t="str">
        <f t="shared" si="8"/>
        <v>errore</v>
      </c>
      <c r="Y26" t="str">
        <f>IF(E26="SEP",IF(I26="x",H26,IF(L26="X",K26,IF(O26="x",N26,IF(R26="X",Q26,IF(U26="X",T26,""))))),"")</f>
        <v/>
      </c>
    </row>
    <row r="27" spans="1:26" ht="15" customHeight="1">
      <c r="A27" t="str">
        <f>IF(G27&lt;&gt;"",ScenaAttiva&amp;"_"&amp;AB$4&amp;TEXT(COUNTIF($G$3:G27,"&lt;&gt;"),"0000"),"")</f>
        <v>A_MAS0022</v>
      </c>
      <c r="B27">
        <f>IF(A27&lt;&gt;"",SquadraAttiva,"")</f>
        <v>3</v>
      </c>
      <c r="C27" t="str">
        <f t="shared" si="1"/>
        <v>3-A_MAS0022</v>
      </c>
      <c r="D27">
        <f>IFERROR(_xlfn.XLOOKUP(C27,tblRisposte[idValutazione],tblRisposte[Valore],""),"")</f>
        <v>2</v>
      </c>
      <c r="E27" t="s">
        <v>653</v>
      </c>
      <c r="F27" s="78" t="s">
        <v>103</v>
      </c>
      <c r="G27" t="s">
        <v>35</v>
      </c>
      <c r="H27" s="22" cm="1">
        <f t="array" ref="H27">_xlfn.LET(_xlpm.v,_xlfn.XLOOKUP(G27,tblValutazioni[TipoValutazione],tblValutazioni[MB],""),IF(_xlpm.v="","",_xlpm.v))</f>
        <v>5</v>
      </c>
      <c r="I27" s="20">
        <f>IF(_xlfn.XLOOKUP($A27, tblRisposte[ItemKey],tblRisposte[Valore],"")="Molto bene","X",0)</f>
        <v>0</v>
      </c>
      <c r="J27" s="1">
        <f t="shared" si="2"/>
        <v>0</v>
      </c>
      <c r="K27" s="2" cm="1">
        <f t="array" ref="K27">_xlfn.LET(_xlpm.v,_xlfn.XLOOKUP(G27,tblValutazioni[TipoValutazione],tblValutazioni[BE],""),IF(_xlpm.v="","",_xlpm.v))</f>
        <v>4</v>
      </c>
      <c r="L27" s="18">
        <f>IF(_xlfn.XLOOKUP($A27, tblRisposte[ItemKey], tblRisposte[Valore], "")="Bene",
  "X",
  0)</f>
        <v>0</v>
      </c>
      <c r="M27" s="1">
        <f t="shared" si="3"/>
        <v>0</v>
      </c>
      <c r="N27" s="2" cm="1">
        <f t="array" ref="N27">_xlfn.LET(_xlpm.v,_xlfn.XLOOKUP(G27,tblValutazioni[TipoValutazione],tblValutazioni[SU],""),IF(_xlpm.v="","",_xlpm.v))</f>
        <v>2</v>
      </c>
      <c r="O27" s="20">
        <f>IF(_xlfn.XLOOKUP($A27, tblRisposte[ItemKey], tblRisposte[Valore], "")="Soddisfacente","X",0)</f>
        <v>0</v>
      </c>
      <c r="P27" s="1">
        <f t="shared" si="4"/>
        <v>0</v>
      </c>
      <c r="Q27" s="2" cm="1">
        <f t="array" ref="Q27">_xlfn.LET(_xlpm.v,_xlfn.XLOOKUP(G27,tblValutazioni[TipoValutazione],tblValutazioni[IN],""),IF(_xlpm.v="","",_xlpm.v))</f>
        <v>1</v>
      </c>
      <c r="R27" s="18">
        <f>IF(_xlfn.XLOOKUP($A27, tblRisposte[ItemKey], tblRisposte[Valore], "")="Insufficiente","X",0)</f>
        <v>0</v>
      </c>
      <c r="S27" s="1">
        <f t="shared" si="5"/>
        <v>0</v>
      </c>
      <c r="T27" s="2" cm="1">
        <f t="array" ref="T27">_xlfn.LET(_xlpm.v,_xlfn.XLOOKUP(G27,tblValutazioni[TipoValutazione],tblValutazioni[NE],""),IF(_xlpm.v="","",_xlpm.v))</f>
        <v>0</v>
      </c>
      <c r="U27" s="18">
        <f>IF(_xlfn.XLOOKUP($A27, tblRisposte[ItemKey], tblRisposte[Valore], "")="Non eseguito","X",0)</f>
        <v>0</v>
      </c>
      <c r="V27" s="1">
        <f t="shared" si="6"/>
        <v>0</v>
      </c>
      <c r="W27">
        <f t="shared" si="7"/>
        <v>0</v>
      </c>
      <c r="X27" t="str">
        <f t="shared" si="8"/>
        <v>errore</v>
      </c>
      <c r="Y27" t="str">
        <f>IF(E27="SEP",IF(I27="x",H27,IF(L27="X",K27,IF(O27="x",N27,IF(R27="X",Q27,IF(U27="X",T27,""))))),"")</f>
        <v/>
      </c>
    </row>
    <row r="28" spans="1:26" ht="15" customHeight="1">
      <c r="A28" t="str">
        <f>IF(G28&lt;&gt;"",ScenaAttiva&amp;"_"&amp;AB$4&amp;TEXT(COUNTIF($G$3:G28,"&lt;&gt;"),"0000"),"")</f>
        <v>A_MAS0023</v>
      </c>
      <c r="B28">
        <f>IF(A28&lt;&gt;"",SquadraAttiva,"")</f>
        <v>3</v>
      </c>
      <c r="C28" t="str">
        <f t="shared" si="1"/>
        <v>3-A_MAS0023</v>
      </c>
      <c r="D28">
        <f>IFERROR(_xlfn.XLOOKUP(C28,tblRisposte[idValutazione],tblRisposte[Valore],""),"")</f>
        <v>4</v>
      </c>
      <c r="E28" t="s">
        <v>653</v>
      </c>
      <c r="F28" s="78" t="s">
        <v>105</v>
      </c>
      <c r="G28" t="s">
        <v>35</v>
      </c>
      <c r="H28" s="22" cm="1">
        <f t="array" ref="H28">_xlfn.LET(_xlpm.v,_xlfn.XLOOKUP(G28,tblValutazioni[TipoValutazione],tblValutazioni[MB],""),IF(_xlpm.v="","",_xlpm.v))</f>
        <v>5</v>
      </c>
      <c r="I28" s="20">
        <f>IF(_xlfn.XLOOKUP($A28, tblRisposte[ItemKey],tblRisposte[Valore],"")="Molto bene","X",0)</f>
        <v>0</v>
      </c>
      <c r="J28" s="1">
        <f t="shared" si="2"/>
        <v>0</v>
      </c>
      <c r="K28" s="2" cm="1">
        <f t="array" ref="K28">_xlfn.LET(_xlpm.v,_xlfn.XLOOKUP(G28,tblValutazioni[TipoValutazione],tblValutazioni[BE],""),IF(_xlpm.v="","",_xlpm.v))</f>
        <v>4</v>
      </c>
      <c r="L28" s="18">
        <f>IF(_xlfn.XLOOKUP($A28, tblRisposte[ItemKey], tblRisposte[Valore], "")="Bene",
  "X",
  0)</f>
        <v>0</v>
      </c>
      <c r="M28" s="1">
        <f t="shared" si="3"/>
        <v>0</v>
      </c>
      <c r="N28" s="2" cm="1">
        <f t="array" ref="N28">_xlfn.LET(_xlpm.v,_xlfn.XLOOKUP(G28,tblValutazioni[TipoValutazione],tblValutazioni[SU],""),IF(_xlpm.v="","",_xlpm.v))</f>
        <v>2</v>
      </c>
      <c r="O28" s="20">
        <f>IF(_xlfn.XLOOKUP($A28, tblRisposte[ItemKey], tblRisposte[Valore], "")="Soddisfacente","X",0)</f>
        <v>0</v>
      </c>
      <c r="P28" s="1">
        <f t="shared" si="4"/>
        <v>0</v>
      </c>
      <c r="Q28" s="2" cm="1">
        <f t="array" ref="Q28">_xlfn.LET(_xlpm.v,_xlfn.XLOOKUP(G28,tblValutazioni[TipoValutazione],tblValutazioni[IN],""),IF(_xlpm.v="","",_xlpm.v))</f>
        <v>1</v>
      </c>
      <c r="R28" s="18">
        <f>IF(_xlfn.XLOOKUP($A28, tblRisposte[ItemKey], tblRisposte[Valore], "")="Insufficiente","X",0)</f>
        <v>0</v>
      </c>
      <c r="S28" s="1">
        <f t="shared" si="5"/>
        <v>0</v>
      </c>
      <c r="T28" s="2" cm="1">
        <f t="array" ref="T28">_xlfn.LET(_xlpm.v,_xlfn.XLOOKUP(G28,tblValutazioni[TipoValutazione],tblValutazioni[NE],""),IF(_xlpm.v="","",_xlpm.v))</f>
        <v>0</v>
      </c>
      <c r="U28" s="18">
        <f>IF(_xlfn.XLOOKUP($A28, tblRisposte[ItemKey], tblRisposte[Valore], "")="Non eseguito","X",0)</f>
        <v>0</v>
      </c>
      <c r="V28" s="1">
        <f t="shared" si="6"/>
        <v>0</v>
      </c>
      <c r="W28">
        <f t="shared" si="7"/>
        <v>0</v>
      </c>
      <c r="X28" t="str">
        <f t="shared" si="8"/>
        <v>errore</v>
      </c>
      <c r="Y28" t="str">
        <f>IF(E28="SEP",IF(I28="x",H28,IF(L28="X",K28,IF(O28="x",N28,IF(R28="X",Q28,IF(U28="X",T28,""))))),"")</f>
        <v/>
      </c>
    </row>
    <row r="29" spans="1:26" ht="15" customHeight="1">
      <c r="A29" t="str">
        <f>IF(G29&lt;&gt;"",ScenaAttiva&amp;"_"&amp;AB$4&amp;TEXT(COUNTIF($G$3:G29,"&lt;&gt;"),"0000"),"")</f>
        <v/>
      </c>
      <c r="B29" t="str">
        <f>IF(A29&lt;&gt;"",SquadraAttiva,"")</f>
        <v/>
      </c>
      <c r="C29" t="str">
        <f t="shared" si="1"/>
        <v/>
      </c>
      <c r="D29" t="str">
        <f>IFERROR(_xlfn.XLOOKUP(C29,tblRisposte[idValutazione],tblRisposte[Valore],""),"")</f>
        <v/>
      </c>
      <c r="F29" s="76" t="s">
        <v>107</v>
      </c>
      <c r="H29" s="22" t="str" cm="1">
        <f t="array" ref="H29">_xlfn.LET(_xlpm.v,_xlfn.XLOOKUP(G29,tblValutazioni[TipoValutazione],tblValutazioni[MB],""),IF(_xlpm.v="","",_xlpm.v))</f>
        <v/>
      </c>
      <c r="I29" s="20">
        <f>IF(_xlfn.XLOOKUP($A29, tblRisposte[ItemKey],tblRisposte[Valore],"")="Molto bene","X",0)</f>
        <v>0</v>
      </c>
      <c r="J29" s="1">
        <f t="shared" si="2"/>
        <v>0</v>
      </c>
      <c r="K29" s="2" t="str" cm="1">
        <f t="array" ref="K29">_xlfn.LET(_xlpm.v,_xlfn.XLOOKUP(G29,tblValutazioni[TipoValutazione],tblValutazioni[BE],""),IF(_xlpm.v="","",_xlpm.v))</f>
        <v/>
      </c>
      <c r="L29" s="18">
        <f>IF(_xlfn.XLOOKUP($A29, tblRisposte[ItemKey], tblRisposte[Valore], "")="Bene",
  "X",
  0)</f>
        <v>0</v>
      </c>
      <c r="M29" s="1">
        <f t="shared" si="3"/>
        <v>0</v>
      </c>
      <c r="N29" s="2" t="str" cm="1">
        <f t="array" ref="N29">_xlfn.LET(_xlpm.v,_xlfn.XLOOKUP(G29,tblValutazioni[TipoValutazione],tblValutazioni[SU],""),IF(_xlpm.v="","",_xlpm.v))</f>
        <v/>
      </c>
      <c r="O29" s="20">
        <f>IF(_xlfn.XLOOKUP($A29, tblRisposte[ItemKey], tblRisposte[Valore], "")="Soddisfacente","X",0)</f>
        <v>0</v>
      </c>
      <c r="P29" s="1">
        <f t="shared" si="4"/>
        <v>0</v>
      </c>
      <c r="Q29" s="2" t="str" cm="1">
        <f t="array" ref="Q29">_xlfn.LET(_xlpm.v,_xlfn.XLOOKUP(G29,tblValutazioni[TipoValutazione],tblValutazioni[IN],""),IF(_xlpm.v="","",_xlpm.v))</f>
        <v/>
      </c>
      <c r="R29" s="18">
        <f>IF(_xlfn.XLOOKUP($A29, tblRisposte[ItemKey], tblRisposte[Valore], "")="Insufficiente","X",0)</f>
        <v>0</v>
      </c>
      <c r="S29" s="1">
        <f t="shared" si="5"/>
        <v>0</v>
      </c>
      <c r="T29" s="2" t="str" cm="1">
        <f t="array" ref="T29">_xlfn.LET(_xlpm.v,_xlfn.XLOOKUP(G29,tblValutazioni[TipoValutazione],tblValutazioni[NE],""),IF(_xlpm.v="","",_xlpm.v))</f>
        <v/>
      </c>
      <c r="U29" s="18">
        <f>IF(_xlfn.XLOOKUP($A29, tblRisposte[ItemKey], tblRisposte[Valore], "")="Non eseguito","X",0)</f>
        <v>0</v>
      </c>
      <c r="V29" s="1">
        <f t="shared" si="6"/>
        <v>0</v>
      </c>
      <c r="W29">
        <f t="shared" si="7"/>
        <v>0</v>
      </c>
      <c r="X29" t="str">
        <f t="shared" si="8"/>
        <v>errore</v>
      </c>
      <c r="Y29" t="str">
        <f>IF(E29="SEP",IF(I29="x",H29,IF(L29="X",K29,IF(O29="x",N29,IF(R29="X",Q29,IF(U29="X",T29,""))))),"")</f>
        <v/>
      </c>
    </row>
    <row r="30" spans="1:26" ht="15" customHeight="1">
      <c r="A30" t="str">
        <f>IF(G30&lt;&gt;"",ScenaAttiva&amp;"_"&amp;AB$4&amp;TEXT(COUNTIF($G$3:G30,"&lt;&gt;"),"0000"),"")</f>
        <v>A_MAS0024</v>
      </c>
      <c r="B30">
        <f>IF(A30&lt;&gt;"",SquadraAttiva,"")</f>
        <v>3</v>
      </c>
      <c r="C30" t="str">
        <f t="shared" si="1"/>
        <v>3-A_MAS0024</v>
      </c>
      <c r="D30">
        <f>IFERROR(_xlfn.XLOOKUP(C30,tblRisposte[idValutazione],tblRisposte[Valore],""),"")</f>
        <v>0</v>
      </c>
      <c r="F30" s="78" t="s">
        <v>721</v>
      </c>
      <c r="G30" t="s">
        <v>36</v>
      </c>
      <c r="H30" s="22" cm="1">
        <f t="array" ref="H30">_xlfn.LET(_xlpm.v,_xlfn.XLOOKUP(G30,tblValutazioni[TipoValutazione],tblValutazioni[MB],""),IF(_xlpm.v="","",_xlpm.v))</f>
        <v>3</v>
      </c>
      <c r="I30" s="20">
        <f>IF(_xlfn.XLOOKUP($A30, tblRisposte[ItemKey],tblRisposte[Valore],"")="Molto bene","X",0)</f>
        <v>0</v>
      </c>
      <c r="J30" s="1">
        <f t="shared" si="2"/>
        <v>0</v>
      </c>
      <c r="K30" s="2" t="str" cm="1">
        <f t="array" ref="K30">_xlfn.LET(_xlpm.v,_xlfn.XLOOKUP(G30,tblValutazioni[TipoValutazione],tblValutazioni[BE],""),IF(_xlpm.v="","",_xlpm.v))</f>
        <v/>
      </c>
      <c r="L30" s="18">
        <f>IF(_xlfn.XLOOKUP($A30, tblRisposte[ItemKey], tblRisposte[Valore], "")="Bene",
  "X",
  0)</f>
        <v>0</v>
      </c>
      <c r="M30" s="1">
        <f t="shared" si="3"/>
        <v>0</v>
      </c>
      <c r="N30" s="2" cm="1">
        <f t="array" ref="N30">_xlfn.LET(_xlpm.v,_xlfn.XLOOKUP(G30,tblValutazioni[TipoValutazione],tblValutazioni[SU],""),IF(_xlpm.v="","",_xlpm.v))</f>
        <v>1</v>
      </c>
      <c r="O30" s="20">
        <f>IF(_xlfn.XLOOKUP($A30, tblRisposte[ItemKey], tblRisposte[Valore], "")="Soddisfacente","X",0)</f>
        <v>0</v>
      </c>
      <c r="P30" s="1">
        <f t="shared" si="4"/>
        <v>0</v>
      </c>
      <c r="Q30" s="2" t="str" cm="1">
        <f t="array" ref="Q30">_xlfn.LET(_xlpm.v,_xlfn.XLOOKUP(G30,tblValutazioni[TipoValutazione],tblValutazioni[IN],""),IF(_xlpm.v="","",_xlpm.v))</f>
        <v/>
      </c>
      <c r="R30" s="18">
        <f>IF(_xlfn.XLOOKUP($A30, tblRisposte[ItemKey], tblRisposte[Valore], "")="Insufficiente","X",0)</f>
        <v>0</v>
      </c>
      <c r="S30" s="1">
        <f t="shared" si="5"/>
        <v>0</v>
      </c>
      <c r="T30" s="2" cm="1">
        <f t="array" ref="T30">_xlfn.LET(_xlpm.v,_xlfn.XLOOKUP(G30,tblValutazioni[TipoValutazione],tblValutazioni[NE],""),IF(_xlpm.v="","",_xlpm.v))</f>
        <v>0</v>
      </c>
      <c r="U30" s="18">
        <f>IF(_xlfn.XLOOKUP($A30, tblRisposte[ItemKey], tblRisposte[Valore], "")="Non eseguito","X",0)</f>
        <v>0</v>
      </c>
      <c r="V30" s="1">
        <f t="shared" si="6"/>
        <v>0</v>
      </c>
      <c r="W30">
        <f t="shared" si="7"/>
        <v>0</v>
      </c>
      <c r="X30" t="str">
        <f t="shared" si="8"/>
        <v>errore</v>
      </c>
      <c r="Y30" t="str">
        <f>IF(E30="SEP",IF(I30="x",H30,IF(L30="X",K30,IF(O30="x",N30,IF(R30="X",Q30,IF(U30="X",T30,""))))),"")</f>
        <v/>
      </c>
    </row>
    <row r="31" spans="1:26" ht="15" customHeight="1">
      <c r="A31" t="str">
        <f>IF(G31&lt;&gt;"",ScenaAttiva&amp;"_"&amp;AB$4&amp;TEXT(COUNTIF($G$3:G31,"&lt;&gt;"),"0000"),"")</f>
        <v>A_MAS0025</v>
      </c>
      <c r="B31">
        <f>IF(A31&lt;&gt;"",SquadraAttiva,"")</f>
        <v>3</v>
      </c>
      <c r="C31" t="str">
        <f t="shared" si="1"/>
        <v>3-A_MAS0025</v>
      </c>
      <c r="D31">
        <f>IFERROR(_xlfn.XLOOKUP(C31,tblRisposte[idValutazione],tblRisposte[Valore],""),"")</f>
        <v>4</v>
      </c>
      <c r="F31" s="78" t="s">
        <v>111</v>
      </c>
      <c r="G31" t="s">
        <v>37</v>
      </c>
      <c r="H31" s="22" cm="1">
        <f t="array" ref="H31">_xlfn.LET(_xlpm.v,_xlfn.XLOOKUP(G31,tblValutazioni[TipoValutazione],tblValutazioni[MB],""),IF(_xlpm.v="","",_xlpm.v))</f>
        <v>10</v>
      </c>
      <c r="I31" s="20">
        <f>IF(_xlfn.XLOOKUP($A31, tblRisposte[ItemKey],tblRisposte[Valore],"")="Molto bene","X",0)</f>
        <v>0</v>
      </c>
      <c r="J31" s="1">
        <f t="shared" si="2"/>
        <v>0</v>
      </c>
      <c r="K31" s="2" cm="1">
        <f t="array" ref="K31">_xlfn.LET(_xlpm.v,_xlfn.XLOOKUP(G31,tblValutazioni[TipoValutazione],tblValutazioni[BE],""),IF(_xlpm.v="","",_xlpm.v))</f>
        <v>8</v>
      </c>
      <c r="L31" s="18">
        <f>IF(_xlfn.XLOOKUP($A31, tblRisposte[ItemKey], tblRisposte[Valore], "")="Bene",
  "X",
  0)</f>
        <v>0</v>
      </c>
      <c r="M31" s="1">
        <f t="shared" si="3"/>
        <v>0</v>
      </c>
      <c r="N31" s="2" cm="1">
        <f t="array" ref="N31">_xlfn.LET(_xlpm.v,_xlfn.XLOOKUP(G31,tblValutazioni[TipoValutazione],tblValutazioni[SU],""),IF(_xlpm.v="","",_xlpm.v))</f>
        <v>4</v>
      </c>
      <c r="O31" s="20">
        <f>IF(_xlfn.XLOOKUP($A31, tblRisposte[ItemKey], tblRisposte[Valore], "")="Soddisfacente","X",0)</f>
        <v>0</v>
      </c>
      <c r="P31" s="1">
        <f t="shared" si="4"/>
        <v>0</v>
      </c>
      <c r="Q31" s="2" cm="1">
        <f t="array" ref="Q31">_xlfn.LET(_xlpm.v,_xlfn.XLOOKUP(G31,tblValutazioni[TipoValutazione],tblValutazioni[IN],""),IF(_xlpm.v="","",_xlpm.v))</f>
        <v>1</v>
      </c>
      <c r="R31" s="18">
        <f>IF(_xlfn.XLOOKUP($A31, tblRisposte[ItemKey], tblRisposte[Valore], "")="Insufficiente","X",0)</f>
        <v>0</v>
      </c>
      <c r="S31" s="1">
        <f t="shared" si="5"/>
        <v>0</v>
      </c>
      <c r="T31" s="2" cm="1">
        <f t="array" ref="T31">_xlfn.LET(_xlpm.v,_xlfn.XLOOKUP(G31,tblValutazioni[TipoValutazione],tblValutazioni[NE],""),IF(_xlpm.v="","",_xlpm.v))</f>
        <v>0</v>
      </c>
      <c r="U31" s="18">
        <f>IF(_xlfn.XLOOKUP($A31, tblRisposte[ItemKey], tblRisposte[Valore], "")="Non eseguito","X",0)</f>
        <v>0</v>
      </c>
      <c r="V31" s="1">
        <f t="shared" si="6"/>
        <v>0</v>
      </c>
      <c r="W31">
        <f t="shared" si="7"/>
        <v>0</v>
      </c>
      <c r="X31" t="str">
        <f t="shared" si="8"/>
        <v>errore</v>
      </c>
      <c r="Y31" t="str">
        <f>IF(E31="SEP",IF(I31="x",H31,IF(L31="X",K31,IF(O31="x",N31,IF(R31="X",Q31,IF(U31="X",T31,""))))),"")</f>
        <v/>
      </c>
    </row>
    <row r="32" spans="1:26" ht="15" customHeight="1">
      <c r="A32" t="str">
        <f>IF(G32&lt;&gt;"",ScenaAttiva&amp;"_"&amp;AB$4&amp;TEXT(COUNTIF($G$3:G32,"&lt;&gt;"),"0000"),"")</f>
        <v/>
      </c>
      <c r="B32" t="str">
        <f>IF(A32&lt;&gt;"",SquadraAttiva,"")</f>
        <v/>
      </c>
      <c r="C32" t="str">
        <f t="shared" si="1"/>
        <v/>
      </c>
      <c r="D32" t="str">
        <f>IFERROR(_xlfn.XLOOKUP(C32,tblRisposte[idValutazione],tblRisposte[Valore],""),"")</f>
        <v/>
      </c>
      <c r="F32" s="76" t="s">
        <v>113</v>
      </c>
      <c r="H32" s="22" t="str" cm="1">
        <f t="array" ref="H32">_xlfn.LET(_xlpm.v,_xlfn.XLOOKUP(G32,tblValutazioni[TipoValutazione],tblValutazioni[MB],""),IF(_xlpm.v="","",_xlpm.v))</f>
        <v/>
      </c>
      <c r="I32" s="20">
        <f>IF(_xlfn.XLOOKUP($A32, tblRisposte[ItemKey],tblRisposte[Valore],"")="Molto bene","X",0)</f>
        <v>0</v>
      </c>
      <c r="J32" s="1">
        <f t="shared" si="2"/>
        <v>0</v>
      </c>
      <c r="K32" s="2" t="str" cm="1">
        <f t="array" ref="K32">_xlfn.LET(_xlpm.v,_xlfn.XLOOKUP(G32,tblValutazioni[TipoValutazione],tblValutazioni[BE],""),IF(_xlpm.v="","",_xlpm.v))</f>
        <v/>
      </c>
      <c r="L32" s="18">
        <f>IF(_xlfn.XLOOKUP($A32, tblRisposte[ItemKey], tblRisposte[Valore], "")="Bene",
  "X",
  0)</f>
        <v>0</v>
      </c>
      <c r="M32" s="1">
        <f t="shared" si="3"/>
        <v>0</v>
      </c>
      <c r="N32" s="2" t="str" cm="1">
        <f t="array" ref="N32">_xlfn.LET(_xlpm.v,_xlfn.XLOOKUP(G32,tblValutazioni[TipoValutazione],tblValutazioni[SU],""),IF(_xlpm.v="","",_xlpm.v))</f>
        <v/>
      </c>
      <c r="O32" s="20">
        <f>IF(_xlfn.XLOOKUP($A32, tblRisposte[ItemKey], tblRisposte[Valore], "")="Soddisfacente","X",0)</f>
        <v>0</v>
      </c>
      <c r="P32" s="1">
        <f t="shared" si="4"/>
        <v>0</v>
      </c>
      <c r="Q32" s="2" t="str" cm="1">
        <f t="array" ref="Q32">_xlfn.LET(_xlpm.v,_xlfn.XLOOKUP(G32,tblValutazioni[TipoValutazione],tblValutazioni[IN],""),IF(_xlpm.v="","",_xlpm.v))</f>
        <v/>
      </c>
      <c r="R32" s="18">
        <f>IF(_xlfn.XLOOKUP($A32, tblRisposte[ItemKey], tblRisposte[Valore], "")="Insufficiente","X",0)</f>
        <v>0</v>
      </c>
      <c r="S32" s="1">
        <f t="shared" si="5"/>
        <v>0</v>
      </c>
      <c r="T32" s="2" t="str" cm="1">
        <f t="array" ref="T32">_xlfn.LET(_xlpm.v,_xlfn.XLOOKUP(G32,tblValutazioni[TipoValutazione],tblValutazioni[NE],""),IF(_xlpm.v="","",_xlpm.v))</f>
        <v/>
      </c>
      <c r="U32" s="18">
        <f>IF(_xlfn.XLOOKUP($A32, tblRisposte[ItemKey], tblRisposte[Valore], "")="Non eseguito","X",0)</f>
        <v>0</v>
      </c>
      <c r="V32" s="1">
        <f t="shared" si="6"/>
        <v>0</v>
      </c>
      <c r="W32">
        <f t="shared" si="7"/>
        <v>0</v>
      </c>
      <c r="X32" t="str">
        <f t="shared" si="8"/>
        <v>errore</v>
      </c>
      <c r="Y32" t="str">
        <f>IF(E32="SEP",IF(I32="x",H32,IF(L32="X",K32,IF(O32="x",N32,IF(R32="X",Q32,IF(U32="X",T32,""))))),"")</f>
        <v/>
      </c>
    </row>
    <row r="33" spans="1:25" ht="15" customHeight="1">
      <c r="A33" t="str">
        <f>IF(G33&lt;&gt;"",ScenaAttiva&amp;"_"&amp;AB$4&amp;TEXT(COUNTIF($G$3:G33,"&lt;&gt;"),"0000"),"")</f>
        <v>A_MAS0026</v>
      </c>
      <c r="B33">
        <f>IF(A33&lt;&gt;"",SquadraAttiva,"")</f>
        <v>3</v>
      </c>
      <c r="C33" t="str">
        <f t="shared" si="1"/>
        <v>3-A_MAS0026</v>
      </c>
      <c r="D33">
        <f>IFERROR(_xlfn.XLOOKUP(C33,tblRisposte[idValutazione],tblRisposte[Valore],""),"")</f>
        <v>1</v>
      </c>
      <c r="F33" s="79" t="s">
        <v>115</v>
      </c>
      <c r="G33" t="s">
        <v>37</v>
      </c>
      <c r="H33" s="22" cm="1">
        <f t="array" ref="H33">_xlfn.LET(_xlpm.v,_xlfn.XLOOKUP(G33,tblValutazioni[TipoValutazione],tblValutazioni[MB],""),IF(_xlpm.v="","",_xlpm.v))</f>
        <v>10</v>
      </c>
      <c r="I33" s="20">
        <f>IF(_xlfn.XLOOKUP($A33, tblRisposte[ItemKey],tblRisposte[Valore],"")="Molto bene","X",0)</f>
        <v>0</v>
      </c>
      <c r="J33" s="1">
        <f t="shared" si="2"/>
        <v>0</v>
      </c>
      <c r="K33" s="2" cm="1">
        <f t="array" ref="K33">_xlfn.LET(_xlpm.v,_xlfn.XLOOKUP(G33,tblValutazioni[TipoValutazione],tblValutazioni[BE],""),IF(_xlpm.v="","",_xlpm.v))</f>
        <v>8</v>
      </c>
      <c r="L33" s="18">
        <f>IF(_xlfn.XLOOKUP($A33, tblRisposte[ItemKey], tblRisposte[Valore], "")="Bene",
  "X",
  0)</f>
        <v>0</v>
      </c>
      <c r="M33" s="1">
        <f t="shared" si="3"/>
        <v>0</v>
      </c>
      <c r="N33" s="2" cm="1">
        <f t="array" ref="N33">_xlfn.LET(_xlpm.v,_xlfn.XLOOKUP(G33,tblValutazioni[TipoValutazione],tblValutazioni[SU],""),IF(_xlpm.v="","",_xlpm.v))</f>
        <v>4</v>
      </c>
      <c r="O33" s="20">
        <f>IF(_xlfn.XLOOKUP($A33, tblRisposte[ItemKey], tblRisposte[Valore], "")="Soddisfacente","X",0)</f>
        <v>0</v>
      </c>
      <c r="P33" s="1">
        <f t="shared" si="4"/>
        <v>0</v>
      </c>
      <c r="Q33" s="2" cm="1">
        <f t="array" ref="Q33">_xlfn.LET(_xlpm.v,_xlfn.XLOOKUP(G33,tblValutazioni[TipoValutazione],tblValutazioni[IN],""),IF(_xlpm.v="","",_xlpm.v))</f>
        <v>1</v>
      </c>
      <c r="R33" s="18">
        <f>IF(_xlfn.XLOOKUP($A33, tblRisposte[ItemKey], tblRisposte[Valore], "")="Insufficiente","X",0)</f>
        <v>0</v>
      </c>
      <c r="S33" s="1">
        <f t="shared" si="5"/>
        <v>0</v>
      </c>
      <c r="T33" s="2" cm="1">
        <f t="array" ref="T33">_xlfn.LET(_xlpm.v,_xlfn.XLOOKUP(G33,tblValutazioni[TipoValutazione],tblValutazioni[NE],""),IF(_xlpm.v="","",_xlpm.v))</f>
        <v>0</v>
      </c>
      <c r="U33" s="18">
        <f>IF(_xlfn.XLOOKUP($A33, tblRisposte[ItemKey], tblRisposte[Valore], "")="Non eseguito","X",0)</f>
        <v>0</v>
      </c>
      <c r="V33" s="1">
        <f t="shared" si="6"/>
        <v>0</v>
      </c>
      <c r="W33">
        <f t="shared" si="7"/>
        <v>0</v>
      </c>
      <c r="X33" t="str">
        <f t="shared" si="8"/>
        <v>errore</v>
      </c>
      <c r="Y33" t="str">
        <f>IF(E33="SEP",IF(I33="x",H33,IF(L33="X",K33,IF(O33="x",N33,IF(R33="X",Q33,IF(U33="X",T33,""))))),"")</f>
        <v/>
      </c>
    </row>
    <row r="34" spans="1:25" ht="15" customHeight="1">
      <c r="A34" t="str" cm="1">
        <f t="array" ref="A34">IF(G34&lt;&gt;"",ScenaAttiva&amp;"_MAS"&amp;TEXT(COUNTIF($G$3:G34,"&lt;&gt;"),"0000"),"")</f>
        <v/>
      </c>
      <c r="B34" t="str">
        <f>IF(A34&lt;&gt;"",SquadraAttiva,"")</f>
        <v/>
      </c>
      <c r="C34" t="str">
        <f t="shared" si="1"/>
        <v/>
      </c>
      <c r="D34" t="str">
        <f>IFERROR(_xlfn.XLOOKUP(C34,tblRisposte[idValutazione],tblRisposte[Valore],""),"")</f>
        <v/>
      </c>
      <c r="F34" s="79"/>
      <c r="H34" s="22" t="str" cm="1">
        <f t="array" ref="H34">_xlfn.LET(_xlpm.v,_xlfn.XLOOKUP(G34,tblValutazioni[TipoValutazione],tblValutazioni[MB],""),IF(_xlpm.v="","",_xlpm.v))</f>
        <v/>
      </c>
      <c r="I34" s="20">
        <f>IF(_xlfn.XLOOKUP($A34, tblRisposte[ItemKey],tblRisposte[Valore],"")="Molto bene","X",0)</f>
        <v>0</v>
      </c>
      <c r="J34" s="1">
        <f t="shared" si="2"/>
        <v>0</v>
      </c>
      <c r="K34" s="2" t="str" cm="1">
        <f t="array" ref="K34">_xlfn.LET(_xlpm.v,_xlfn.XLOOKUP(G34,tblValutazioni[TipoValutazione],tblValutazioni[BE],""),IF(_xlpm.v="","",_xlpm.v))</f>
        <v/>
      </c>
      <c r="L34" s="18">
        <f>IF(_xlfn.XLOOKUP($A34, tblRisposte[ItemKey], tblRisposte[Valore], "")="Bene",
  "X",
  0)</f>
        <v>0</v>
      </c>
      <c r="M34" s="1">
        <f t="shared" si="3"/>
        <v>0</v>
      </c>
      <c r="N34" s="2" t="str" cm="1">
        <f t="array" ref="N34">_xlfn.LET(_xlpm.v,_xlfn.XLOOKUP(G34,tblValutazioni[TipoValutazione],tblValutazioni[SU],""),IF(_xlpm.v="","",_xlpm.v))</f>
        <v/>
      </c>
      <c r="O34" s="20">
        <f>IF(_xlfn.XLOOKUP($A34, tblRisposte[ItemKey], tblRisposte[Valore], "")="Soddisfacente","X",0)</f>
        <v>0</v>
      </c>
      <c r="P34" s="1">
        <f t="shared" si="4"/>
        <v>0</v>
      </c>
      <c r="Q34" s="2" t="str" cm="1">
        <f t="array" ref="Q34">_xlfn.LET(_xlpm.v,_xlfn.XLOOKUP(G34,tblValutazioni[TipoValutazione],tblValutazioni[IN],""),IF(_xlpm.v="","",_xlpm.v))</f>
        <v/>
      </c>
      <c r="R34" s="18">
        <f>IF(_xlfn.XLOOKUP($A34, tblRisposte[ItemKey], tblRisposte[Valore], "")="Insufficiente","X",0)</f>
        <v>0</v>
      </c>
      <c r="S34" s="1">
        <f t="shared" si="5"/>
        <v>0</v>
      </c>
      <c r="T34" s="2" t="str" cm="1">
        <f t="array" ref="T34">_xlfn.LET(_xlpm.v,_xlfn.XLOOKUP(G34,tblValutazioni[TipoValutazione],tblValutazioni[NE],""),IF(_xlpm.v="","",_xlpm.v))</f>
        <v/>
      </c>
      <c r="U34" s="18">
        <f>IF(_xlfn.XLOOKUP($A34, tblRisposte[ItemKey], tblRisposte[Valore], "")="Non eseguito","X",0)</f>
        <v>0</v>
      </c>
      <c r="V34" s="1">
        <f t="shared" si="6"/>
        <v>0</v>
      </c>
      <c r="W34">
        <f t="shared" si="7"/>
        <v>0</v>
      </c>
      <c r="X34" t="str">
        <f t="shared" si="8"/>
        <v>errore</v>
      </c>
      <c r="Y34" t="str">
        <f>IF(E34="SEP",IF(I34="x",H34,IF(L34="X",K34,IF(O34="x",N34,IF(R34="X",Q34,IF(U34="X",T34,""))))),"")</f>
        <v/>
      </c>
    </row>
    <row r="35" spans="1:25">
      <c r="A35" t="str" cm="1">
        <f t="array" ref="A35">IF(G35&lt;&gt;"",ScenaAttiva&amp;"_MAS"&amp;TEXT(COUNTIF($G$3:G35,"&lt;&gt;"),"0000"),"")</f>
        <v/>
      </c>
      <c r="B35" t="str">
        <f>IF(A35&lt;&gt;"",SquadraAttiva,"")</f>
        <v/>
      </c>
      <c r="C35" t="str">
        <f t="shared" si="1"/>
        <v/>
      </c>
      <c r="D35" t="str">
        <f>IFERROR(_xlfn.XLOOKUP(C35,tblRisposte[idValutazione],tblRisposte[Valore],""),"")</f>
        <v/>
      </c>
      <c r="F35" t="s">
        <v>722</v>
      </c>
      <c r="H35" s="22" t="str" cm="1">
        <f t="array" ref="H35">_xlfn.LET(_xlpm.v,_xlfn.XLOOKUP(G35,tblValutazioni[TipoValutazione],tblValutazioni[MB],""),IF(_xlpm.v="","",_xlpm.v))</f>
        <v/>
      </c>
      <c r="I35" s="20">
        <f>IF(_xlfn.XLOOKUP($A35, tblRisposte[ItemKey],tblRisposte[Valore],"")="Molto bene","X",0)</f>
        <v>0</v>
      </c>
      <c r="J35" s="1">
        <f t="shared" si="2"/>
        <v>0</v>
      </c>
      <c r="K35" s="2" t="str" cm="1">
        <f t="array" ref="K35">_xlfn.LET(_xlpm.v,_xlfn.XLOOKUP(G35,tblValutazioni[TipoValutazione],tblValutazioni[BE],""),IF(_xlpm.v="","",_xlpm.v))</f>
        <v/>
      </c>
      <c r="L35" s="18">
        <f>IF(_xlfn.XLOOKUP($A35, tblRisposte[ItemKey], tblRisposte[Valore], "")="Bene",
  "X",
  0)</f>
        <v>0</v>
      </c>
      <c r="M35" s="1">
        <f t="shared" si="3"/>
        <v>0</v>
      </c>
      <c r="N35" s="2" t="str" cm="1">
        <f t="array" ref="N35">_xlfn.LET(_xlpm.v,_xlfn.XLOOKUP(G35,tblValutazioni[TipoValutazione],tblValutazioni[SU],""),IF(_xlpm.v="","",_xlpm.v))</f>
        <v/>
      </c>
      <c r="O35" s="20">
        <f>IF(_xlfn.XLOOKUP($A35, tblRisposte[ItemKey], tblRisposte[Valore], "")="Soddisfacente","X",0)</f>
        <v>0</v>
      </c>
      <c r="P35" s="1">
        <f t="shared" si="4"/>
        <v>0</v>
      </c>
      <c r="Q35" s="2" t="str" cm="1">
        <f t="array" ref="Q35">_xlfn.LET(_xlpm.v,_xlfn.XLOOKUP(G35,tblValutazioni[TipoValutazione],tblValutazioni[IN],""),IF(_xlpm.v="","",_xlpm.v))</f>
        <v/>
      </c>
      <c r="R35" s="18">
        <f>IF(_xlfn.XLOOKUP($A35, tblRisposte[ItemKey], tblRisposte[Valore], "")="Insufficiente","X",0)</f>
        <v>0</v>
      </c>
      <c r="S35" s="1">
        <f t="shared" si="5"/>
        <v>0</v>
      </c>
      <c r="T35" s="2" t="str" cm="1">
        <f t="array" ref="T35">_xlfn.LET(_xlpm.v,_xlfn.XLOOKUP(G35,tblValutazioni[TipoValutazione],tblValutazioni[NE],""),IF(_xlpm.v="","",_xlpm.v))</f>
        <v/>
      </c>
      <c r="U35" s="18">
        <f>IF(_xlfn.XLOOKUP($A35, tblRisposte[ItemKey], tblRisposte[Valore], "")="Non eseguito","X",0)</f>
        <v>0</v>
      </c>
      <c r="V35" s="1">
        <f t="shared" si="6"/>
        <v>0</v>
      </c>
      <c r="W35">
        <f t="shared" si="7"/>
        <v>0</v>
      </c>
      <c r="X35" t="str">
        <f t="shared" si="8"/>
        <v>errore</v>
      </c>
    </row>
    <row r="36" spans="1:25">
      <c r="A36" t="str" cm="1">
        <f t="array" ref="A36">IF(G36&lt;&gt;"",ScenaAttiva&amp;"_MAS"&amp;TEXT(COUNTIF($G$3:G36,"&lt;&gt;"),"0000"),"")</f>
        <v/>
      </c>
      <c r="B36" t="str">
        <f>IF(A36&lt;&gt;"",SquadraAttiva,"")</f>
        <v/>
      </c>
      <c r="C36" t="str">
        <f t="shared" si="1"/>
        <v/>
      </c>
      <c r="D36" t="str">
        <f>IFERROR(_xlfn.XLOOKUP(C36,tblRisposte[idValutazione],tblRisposte[Valore],""),"")</f>
        <v/>
      </c>
      <c r="F36" t="s">
        <v>723</v>
      </c>
      <c r="H36" s="22" t="str" cm="1">
        <f t="array" ref="H36">_xlfn.LET(_xlpm.v,_xlfn.XLOOKUP(G36,tblValutazioni[TipoValutazione],tblValutazioni[MB],""),IF(_xlpm.v="","",_xlpm.v))</f>
        <v/>
      </c>
      <c r="I36" s="20">
        <f>IF(_xlfn.XLOOKUP($A36, tblRisposte[ItemKey],tblRisposte[Valore],"")="Molto bene","X",0)</f>
        <v>0</v>
      </c>
      <c r="J36" s="1">
        <f t="shared" si="2"/>
        <v>0</v>
      </c>
      <c r="K36" s="2" t="str" cm="1">
        <f t="array" ref="K36">_xlfn.LET(_xlpm.v,_xlfn.XLOOKUP(G36,tblValutazioni[TipoValutazione],tblValutazioni[BE],""),IF(_xlpm.v="","",_xlpm.v))</f>
        <v/>
      </c>
      <c r="L36" s="18">
        <f>IF(_xlfn.XLOOKUP($A36, tblRisposte[ItemKey], tblRisposte[Valore], "")="Bene",
  "X",
  0)</f>
        <v>0</v>
      </c>
      <c r="M36" s="1">
        <f t="shared" si="3"/>
        <v>0</v>
      </c>
      <c r="N36" s="2" t="str" cm="1">
        <f t="array" ref="N36">_xlfn.LET(_xlpm.v,_xlfn.XLOOKUP(G36,tblValutazioni[TipoValutazione],tblValutazioni[SU],""),IF(_xlpm.v="","",_xlpm.v))</f>
        <v/>
      </c>
      <c r="O36" s="20">
        <f>IF(_xlfn.XLOOKUP($A36, tblRisposte[ItemKey], tblRisposte[Valore], "")="Soddisfacente","X",0)</f>
        <v>0</v>
      </c>
      <c r="P36" s="1">
        <f t="shared" si="4"/>
        <v>0</v>
      </c>
      <c r="Q36" s="2" t="str" cm="1">
        <f t="array" ref="Q36">_xlfn.LET(_xlpm.v,_xlfn.XLOOKUP(G36,tblValutazioni[TipoValutazione],tblValutazioni[IN],""),IF(_xlpm.v="","",_xlpm.v))</f>
        <v/>
      </c>
      <c r="R36" s="18">
        <f>IF(_xlfn.XLOOKUP($A36, tblRisposte[ItemKey], tblRisposte[Valore], "")="Insufficiente","X",0)</f>
        <v>0</v>
      </c>
      <c r="S36" s="1">
        <f t="shared" si="5"/>
        <v>0</v>
      </c>
      <c r="T36" s="2" t="str" cm="1">
        <f t="array" ref="T36">_xlfn.LET(_xlpm.v,_xlfn.XLOOKUP(G36,tblValutazioni[TipoValutazione],tblValutazioni[NE],""),IF(_xlpm.v="","",_xlpm.v))</f>
        <v/>
      </c>
      <c r="U36" s="18">
        <f>IF(_xlfn.XLOOKUP($A36, tblRisposte[ItemKey], tblRisposte[Valore], "")="Non eseguito","X",0)</f>
        <v>0</v>
      </c>
      <c r="V36" s="1">
        <f t="shared" si="6"/>
        <v>0</v>
      </c>
      <c r="W36">
        <f t="shared" si="7"/>
        <v>0</v>
      </c>
      <c r="X36" t="str">
        <f>IF(W36&lt;&gt;1,"errore","OK")</f>
        <v>errore</v>
      </c>
    </row>
    <row r="37" spans="1:25">
      <c r="A37" t="str" cm="1">
        <f t="array" ref="A37">IF(G37&lt;&gt;"",ScenaAttiva&amp;"_MAS"&amp;TEXT(COUNTIF($G$3:G37,"&lt;&gt;"),"0000"),"")</f>
        <v/>
      </c>
      <c r="B37" t="str">
        <f>IF(A37&lt;&gt;"",SquadraAttiva,"")</f>
        <v/>
      </c>
      <c r="C37" t="str">
        <f t="shared" si="1"/>
        <v/>
      </c>
      <c r="D37" t="str">
        <f>IFERROR(_xlfn.XLOOKUP(C37,tblRisposte[idValutazione],tblRisposte[Valore],""),"")</f>
        <v/>
      </c>
      <c r="F37" t="s">
        <v>724</v>
      </c>
      <c r="H37" s="22" t="str" cm="1">
        <f t="array" ref="H37">_xlfn.LET(_xlpm.v,_xlfn.XLOOKUP(G37,tblValutazioni[TipoValutazione],tblValutazioni[MB],""),IF(_xlpm.v="","",_xlpm.v))</f>
        <v/>
      </c>
      <c r="I37" s="20">
        <f>IF(_xlfn.XLOOKUP($A37, tblRisposte[ItemKey],tblRisposte[Valore],"")="Molto bene","X",0)</f>
        <v>0</v>
      </c>
      <c r="J37" s="1">
        <f t="shared" si="2"/>
        <v>0</v>
      </c>
      <c r="K37" s="2" t="str" cm="1">
        <f t="array" ref="K37">_xlfn.LET(_xlpm.v,_xlfn.XLOOKUP(G37,tblValutazioni[TipoValutazione],tblValutazioni[BE],""),IF(_xlpm.v="","",_xlpm.v))</f>
        <v/>
      </c>
      <c r="L37" s="18">
        <f>IF(_xlfn.XLOOKUP($A37, tblRisposte[ItemKey], tblRisposte[Valore], "")="Bene",
  "X",
  0)</f>
        <v>0</v>
      </c>
      <c r="M37" s="1">
        <f t="shared" si="3"/>
        <v>0</v>
      </c>
      <c r="N37" s="2" t="str" cm="1">
        <f t="array" ref="N37">_xlfn.LET(_xlpm.v,_xlfn.XLOOKUP(G37,tblValutazioni[TipoValutazione],tblValutazioni[SU],""),IF(_xlpm.v="","",_xlpm.v))</f>
        <v/>
      </c>
      <c r="O37" s="20">
        <f>IF(_xlfn.XLOOKUP($A37, tblRisposte[ItemKey], tblRisposte[Valore], "")="Soddisfacente","X",0)</f>
        <v>0</v>
      </c>
      <c r="P37" s="1">
        <f t="shared" si="4"/>
        <v>0</v>
      </c>
      <c r="Q37" s="2" t="str" cm="1">
        <f t="array" ref="Q37">_xlfn.LET(_xlpm.v,_xlfn.XLOOKUP(G37,tblValutazioni[TipoValutazione],tblValutazioni[IN],""),IF(_xlpm.v="","",_xlpm.v))</f>
        <v/>
      </c>
      <c r="R37" s="18">
        <f>IF(_xlfn.XLOOKUP($A37, tblRisposte[ItemKey], tblRisposte[Valore], "")="Insufficiente","X",0)</f>
        <v>0</v>
      </c>
      <c r="S37" s="1">
        <f t="shared" si="5"/>
        <v>0</v>
      </c>
      <c r="T37" s="2" t="str" cm="1">
        <f t="array" ref="T37">_xlfn.LET(_xlpm.v,_xlfn.XLOOKUP(G37,tblValutazioni[TipoValutazione],tblValutazioni[NE],""),IF(_xlpm.v="","",_xlpm.v))</f>
        <v/>
      </c>
      <c r="U37" s="18">
        <f>IF(_xlfn.XLOOKUP($A37, tblRisposte[ItemKey], tblRisposte[Valore], "")="Non eseguito","X",0)</f>
        <v>0</v>
      </c>
      <c r="V37" s="1">
        <f t="shared" si="6"/>
        <v>0</v>
      </c>
      <c r="W37">
        <f t="shared" si="7"/>
        <v>0</v>
      </c>
      <c r="X37" t="str">
        <f>IF(W37&lt;&gt;1,"errore","OK")</f>
        <v>errore</v>
      </c>
    </row>
    <row r="38" spans="1:25">
      <c r="A38" t="str" cm="1">
        <f t="array" ref="A38">IF(G38&lt;&gt;"",ScenaAttiva&amp;"_MAS"&amp;TEXT(COUNTIF($G$3:G38,"&lt;&gt;"),"0000"),"")</f>
        <v/>
      </c>
      <c r="B38" t="str">
        <f>IF(A38&lt;&gt;"",SquadraAttiva,"")</f>
        <v/>
      </c>
      <c r="C38" t="str">
        <f t="shared" si="1"/>
        <v/>
      </c>
      <c r="D38" t="str">
        <f>IFERROR(_xlfn.XLOOKUP(C38,tblRisposte[idValutazione],tblRisposte[Valore],""),"")</f>
        <v/>
      </c>
      <c r="F38" t="s">
        <v>725</v>
      </c>
      <c r="H38" s="22" t="str" cm="1">
        <f t="array" ref="H38">_xlfn.LET(_xlpm.v,_xlfn.XLOOKUP(G38,tblValutazioni[TipoValutazione],tblValutazioni[MB],""),IF(_xlpm.v="","",_xlpm.v))</f>
        <v/>
      </c>
      <c r="I38" s="20">
        <f>IF(_xlfn.XLOOKUP($A38, tblRisposte[ItemKey],tblRisposte[Valore],"")="Molto bene","X",0)</f>
        <v>0</v>
      </c>
      <c r="J38" s="1">
        <f t="shared" si="2"/>
        <v>0</v>
      </c>
      <c r="K38" s="2" t="str" cm="1">
        <f t="array" ref="K38">_xlfn.LET(_xlpm.v,_xlfn.XLOOKUP(G38,tblValutazioni[TipoValutazione],tblValutazioni[BE],""),IF(_xlpm.v="","",_xlpm.v))</f>
        <v/>
      </c>
      <c r="L38" s="18">
        <f>IF(_xlfn.XLOOKUP($A38, tblRisposte[ItemKey], tblRisposte[Valore], "")="Bene",
  "X",
  0)</f>
        <v>0</v>
      </c>
      <c r="M38" s="1">
        <f t="shared" si="3"/>
        <v>0</v>
      </c>
      <c r="N38" s="2" t="str" cm="1">
        <f t="array" ref="N38">_xlfn.LET(_xlpm.v,_xlfn.XLOOKUP(G38,tblValutazioni[TipoValutazione],tblValutazioni[SU],""),IF(_xlpm.v="","",_xlpm.v))</f>
        <v/>
      </c>
      <c r="O38" s="20">
        <f>IF(_xlfn.XLOOKUP($A38, tblRisposte[ItemKey], tblRisposte[Valore], "")="Soddisfacente","X",0)</f>
        <v>0</v>
      </c>
      <c r="P38" s="1">
        <f t="shared" si="4"/>
        <v>0</v>
      </c>
      <c r="Q38" s="2" t="str" cm="1">
        <f t="array" ref="Q38">_xlfn.LET(_xlpm.v,_xlfn.XLOOKUP(G38,tblValutazioni[TipoValutazione],tblValutazioni[IN],""),IF(_xlpm.v="","",_xlpm.v))</f>
        <v/>
      </c>
      <c r="R38" s="18">
        <f>IF(_xlfn.XLOOKUP($A38, tblRisposte[ItemKey], tblRisposte[Valore], "")="Insufficiente","X",0)</f>
        <v>0</v>
      </c>
      <c r="S38" s="1">
        <f t="shared" si="5"/>
        <v>0</v>
      </c>
      <c r="T38" s="2" t="str" cm="1">
        <f t="array" ref="T38">_xlfn.LET(_xlpm.v,_xlfn.XLOOKUP(G38,tblValutazioni[TipoValutazione],tblValutazioni[NE],""),IF(_xlpm.v="","",_xlpm.v))</f>
        <v/>
      </c>
      <c r="U38" s="18">
        <f>IF(_xlfn.XLOOKUP($A38, tblRisposte[ItemKey], tblRisposte[Valore], "")="Non eseguito","X",0)</f>
        <v>0</v>
      </c>
      <c r="V38" s="1">
        <f t="shared" si="6"/>
        <v>0</v>
      </c>
      <c r="W38">
        <f t="shared" si="7"/>
        <v>0</v>
      </c>
      <c r="X38" t="str">
        <f>IF(W38&lt;&gt;1,"errore","OK")</f>
        <v>errore</v>
      </c>
    </row>
    <row r="39" spans="1:25">
      <c r="A39" t="str" cm="1">
        <f t="array" ref="A39">IF(G39&lt;&gt;"",ScenaAttiva&amp;"_MAS"&amp;TEXT(COUNTIF($G$3:G39,"&lt;&gt;"),"0000"),"")</f>
        <v/>
      </c>
      <c r="B39" t="str">
        <f>IF(A39&lt;&gt;"",SquadraAttiva,"")</f>
        <v/>
      </c>
      <c r="C39" t="str">
        <f t="shared" si="1"/>
        <v/>
      </c>
      <c r="D39" t="str">
        <f>IFERROR(_xlfn.XLOOKUP(C39,tblRisposte[idValutazione],tblRisposte[Valore],""),"")</f>
        <v/>
      </c>
      <c r="F39" t="s">
        <v>725</v>
      </c>
      <c r="H39" s="22" t="str" cm="1">
        <f t="array" ref="H39">_xlfn.LET(_xlpm.v,_xlfn.XLOOKUP(G39,tblValutazioni[TipoValutazione],tblValutazioni[MB],""),IF(_xlpm.v="","",_xlpm.v))</f>
        <v/>
      </c>
      <c r="I39" s="20">
        <f>IF(_xlfn.XLOOKUP($A39, tblRisposte[ItemKey],tblRisposte[Valore],"")="Molto bene","X",0)</f>
        <v>0</v>
      </c>
      <c r="J39" s="1">
        <f t="shared" si="2"/>
        <v>0</v>
      </c>
      <c r="K39" s="2" t="str" cm="1">
        <f t="array" ref="K39">_xlfn.LET(_xlpm.v,_xlfn.XLOOKUP(G39,tblValutazioni[TipoValutazione],tblValutazioni[BE],""),IF(_xlpm.v="","",_xlpm.v))</f>
        <v/>
      </c>
      <c r="L39" s="18">
        <f>IF(_xlfn.XLOOKUP($A39, tblRisposte[ItemKey], tblRisposte[Valore], "")="Bene",
  "X",
  0)</f>
        <v>0</v>
      </c>
      <c r="M39" s="1">
        <f t="shared" si="3"/>
        <v>0</v>
      </c>
      <c r="N39" s="2" t="str" cm="1">
        <f t="array" ref="N39">_xlfn.LET(_xlpm.v,_xlfn.XLOOKUP(G39,tblValutazioni[TipoValutazione],tblValutazioni[SU],""),IF(_xlpm.v="","",_xlpm.v))</f>
        <v/>
      </c>
      <c r="O39" s="20">
        <f>IF(_xlfn.XLOOKUP($A39, tblRisposte[ItemKey], tblRisposte[Valore], "")="Soddisfacente","X",0)</f>
        <v>0</v>
      </c>
      <c r="P39" s="1">
        <f t="shared" si="4"/>
        <v>0</v>
      </c>
      <c r="Q39" s="2" t="str" cm="1">
        <f t="array" ref="Q39">_xlfn.LET(_xlpm.v,_xlfn.XLOOKUP(G39,tblValutazioni[TipoValutazione],tblValutazioni[IN],""),IF(_xlpm.v="","",_xlpm.v))</f>
        <v/>
      </c>
      <c r="R39" s="18">
        <f>IF(_xlfn.XLOOKUP($A39, tblRisposte[ItemKey], tblRisposte[Valore], "")="Insufficiente","X",0)</f>
        <v>0</v>
      </c>
      <c r="S39" s="1">
        <f t="shared" si="5"/>
        <v>0</v>
      </c>
      <c r="T39" s="2" t="str" cm="1">
        <f t="array" ref="T39">_xlfn.LET(_xlpm.v,_xlfn.XLOOKUP(G39,tblValutazioni[TipoValutazione],tblValutazioni[NE],""),IF(_xlpm.v="","",_xlpm.v))</f>
        <v/>
      </c>
      <c r="U39" s="18">
        <f>IF(_xlfn.XLOOKUP($A39, tblRisposte[ItemKey], tblRisposte[Valore], "")="Non eseguito","X",0)</f>
        <v>0</v>
      </c>
      <c r="V39" s="1">
        <f t="shared" si="6"/>
        <v>0</v>
      </c>
      <c r="W39">
        <f t="shared" si="7"/>
        <v>0</v>
      </c>
      <c r="X39" t="str">
        <f>IF(W39&lt;&gt;1,"errore","OK")</f>
        <v>errore</v>
      </c>
    </row>
    <row r="40" spans="1:25">
      <c r="A40" t="str" cm="1">
        <f t="array" ref="A40">IF(G40&lt;&gt;"",ScenaAttiva&amp;"_MAS"&amp;TEXT(COUNTIF($G$3:G40,"&lt;&gt;"),"0000"),"")</f>
        <v/>
      </c>
      <c r="B40" t="str">
        <f>IF(A40&lt;&gt;"",SquadraAttiva,"")</f>
        <v/>
      </c>
      <c r="C40" t="str">
        <f t="shared" si="1"/>
        <v/>
      </c>
      <c r="D40" t="str">
        <f>IFERROR(_xlfn.XLOOKUP(C40,tblRisposte[idValutazione],tblRisposte[Valore],""),"")</f>
        <v/>
      </c>
      <c r="F40" t="s">
        <v>726</v>
      </c>
      <c r="H40" s="22" t="str" cm="1">
        <f t="array" ref="H40">_xlfn.LET(_xlpm.v,_xlfn.XLOOKUP(G40,tblValutazioni[TipoValutazione],tblValutazioni[MB],""),IF(_xlpm.v="","",_xlpm.v))</f>
        <v/>
      </c>
      <c r="I40" s="20">
        <f>IF(_xlfn.XLOOKUP($A40, tblRisposte[ItemKey],tblRisposte[Valore],"")="Molto bene","X",0)</f>
        <v>0</v>
      </c>
      <c r="J40" s="1">
        <f t="shared" si="2"/>
        <v>0</v>
      </c>
      <c r="K40" s="2" t="str" cm="1">
        <f t="array" ref="K40">_xlfn.LET(_xlpm.v,_xlfn.XLOOKUP(G40,tblValutazioni[TipoValutazione],tblValutazioni[BE],""),IF(_xlpm.v="","",_xlpm.v))</f>
        <v/>
      </c>
      <c r="L40" s="18">
        <f>IF(_xlfn.XLOOKUP($A40, tblRisposte[ItemKey], tblRisposte[Valore], "")="Bene",
  "X",
  0)</f>
        <v>0</v>
      </c>
      <c r="M40" s="1">
        <f t="shared" si="3"/>
        <v>0</v>
      </c>
      <c r="N40" s="2" t="str" cm="1">
        <f t="array" ref="N40">_xlfn.LET(_xlpm.v,_xlfn.XLOOKUP(G40,tblValutazioni[TipoValutazione],tblValutazioni[SU],""),IF(_xlpm.v="","",_xlpm.v))</f>
        <v/>
      </c>
      <c r="O40" s="20">
        <f>IF(_xlfn.XLOOKUP($A40, tblRisposte[ItemKey], tblRisposte[Valore], "")="Soddisfacente","X",0)</f>
        <v>0</v>
      </c>
      <c r="P40" s="1">
        <f t="shared" si="4"/>
        <v>0</v>
      </c>
      <c r="Q40" s="2" t="str" cm="1">
        <f t="array" ref="Q40">_xlfn.LET(_xlpm.v,_xlfn.XLOOKUP(G40,tblValutazioni[TipoValutazione],tblValutazioni[IN],""),IF(_xlpm.v="","",_xlpm.v))</f>
        <v/>
      </c>
      <c r="R40" s="18">
        <f>IF(_xlfn.XLOOKUP($A40, tblRisposte[ItemKey], tblRisposte[Valore], "")="Insufficiente","X",0)</f>
        <v>0</v>
      </c>
      <c r="S40" s="1">
        <f t="shared" si="5"/>
        <v>0</v>
      </c>
      <c r="T40" s="2" t="str" cm="1">
        <f t="array" ref="T40">_xlfn.LET(_xlpm.v,_xlfn.XLOOKUP(G40,tblValutazioni[TipoValutazione],tblValutazioni[NE],""),IF(_xlpm.v="","",_xlpm.v))</f>
        <v/>
      </c>
      <c r="U40" s="18">
        <f>IF(_xlfn.XLOOKUP($A40, tblRisposte[ItemKey], tblRisposte[Valore], "")="Non eseguito","X",0)</f>
        <v>0</v>
      </c>
      <c r="V40" s="1">
        <f t="shared" si="6"/>
        <v>0</v>
      </c>
      <c r="W40">
        <f t="shared" si="7"/>
        <v>0</v>
      </c>
      <c r="X40" t="str">
        <f>IF(W40&lt;&gt;1,"errore","OK")</f>
        <v>errore</v>
      </c>
    </row>
    <row r="41" spans="1:25">
      <c r="A41" t="str" cm="1">
        <f t="array" ref="A41">IF(G41&lt;&gt;"",ScenaAttiva&amp;"_MAS"&amp;TEXT(COUNTIF($G$3:G41,"&lt;&gt;"),"0000"),"")</f>
        <v/>
      </c>
      <c r="B41" t="str">
        <f>IF(A41&lt;&gt;"",SquadraAttiva,"")</f>
        <v/>
      </c>
      <c r="C41" t="str">
        <f t="shared" si="1"/>
        <v/>
      </c>
      <c r="D41" t="str">
        <f>IFERROR(_xlfn.XLOOKUP(C41,tblRisposte[idValutazione],tblRisposte[Valore],""),"")</f>
        <v/>
      </c>
      <c r="F41" t="s">
        <v>727</v>
      </c>
      <c r="H41" s="22" t="str" cm="1">
        <f t="array" ref="H41">_xlfn.LET(_xlpm.v,_xlfn.XLOOKUP(G41,tblValutazioni[TipoValutazione],tblValutazioni[MB],""),IF(_xlpm.v="","",_xlpm.v))</f>
        <v/>
      </c>
      <c r="I41" s="20">
        <f>IF(_xlfn.XLOOKUP($A41, tblRisposte[ItemKey],tblRisposte[Valore],"")="Molto bene","X",0)</f>
        <v>0</v>
      </c>
      <c r="J41" s="1">
        <f t="shared" si="2"/>
        <v>0</v>
      </c>
      <c r="K41" s="2" t="str" cm="1">
        <f t="array" ref="K41">_xlfn.LET(_xlpm.v,_xlfn.XLOOKUP(G41,tblValutazioni[TipoValutazione],tblValutazioni[BE],""),IF(_xlpm.v="","",_xlpm.v))</f>
        <v/>
      </c>
      <c r="L41" s="18">
        <f>IF(_xlfn.XLOOKUP($A41, tblRisposte[ItemKey], tblRisposte[Valore], "")="Bene",
  "X",
  0)</f>
        <v>0</v>
      </c>
      <c r="M41" s="1">
        <f t="shared" si="3"/>
        <v>0</v>
      </c>
      <c r="N41" s="2" t="str" cm="1">
        <f t="array" ref="N41">_xlfn.LET(_xlpm.v,_xlfn.XLOOKUP(G41,tblValutazioni[TipoValutazione],tblValutazioni[SU],""),IF(_xlpm.v="","",_xlpm.v))</f>
        <v/>
      </c>
      <c r="O41" s="20">
        <f>IF(_xlfn.XLOOKUP($A41, tblRisposte[ItemKey], tblRisposte[Valore], "")="Soddisfacente","X",0)</f>
        <v>0</v>
      </c>
      <c r="P41" s="1">
        <f t="shared" si="4"/>
        <v>0</v>
      </c>
      <c r="Q41" s="2" t="str" cm="1">
        <f t="array" ref="Q41">_xlfn.LET(_xlpm.v,_xlfn.XLOOKUP(G41,tblValutazioni[TipoValutazione],tblValutazioni[IN],""),IF(_xlpm.v="","",_xlpm.v))</f>
        <v/>
      </c>
      <c r="R41" s="18">
        <f>IF(_xlfn.XLOOKUP($A41, tblRisposte[ItemKey], tblRisposte[Valore], "")="Insufficiente","X",0)</f>
        <v>0</v>
      </c>
      <c r="S41" s="1">
        <f t="shared" si="5"/>
        <v>0</v>
      </c>
      <c r="T41" s="2" t="str" cm="1">
        <f t="array" ref="T41">_xlfn.LET(_xlpm.v,_xlfn.XLOOKUP(G41,tblValutazioni[TipoValutazione],tblValutazioni[NE],""),IF(_xlpm.v="","",_xlpm.v))</f>
        <v/>
      </c>
      <c r="U41" s="18">
        <f>IF(_xlfn.XLOOKUP($A41, tblRisposte[ItemKey], tblRisposte[Valore], "")="Non eseguito","X",0)</f>
        <v>0</v>
      </c>
      <c r="V41" s="1">
        <f t="shared" si="6"/>
        <v>0</v>
      </c>
      <c r="W41">
        <f t="shared" si="7"/>
        <v>0</v>
      </c>
      <c r="X41" t="str">
        <f>IF(W41&lt;&gt;1,"errore","OK")</f>
        <v>errore</v>
      </c>
    </row>
    <row r="42" spans="1:25">
      <c r="A42" s="23"/>
      <c r="B42" s="23"/>
      <c r="C42" s="23"/>
      <c r="D42" s="23"/>
      <c r="E42" s="23"/>
      <c r="F42" s="23" t="s">
        <v>728</v>
      </c>
      <c r="G42" s="23"/>
      <c r="H42" s="23"/>
      <c r="I42" s="23">
        <f>SUM(J3:J41)</f>
        <v>0</v>
      </c>
      <c r="J42" s="23"/>
      <c r="K42" s="24"/>
      <c r="L42" s="23">
        <f>SUM(M3:M41)</f>
        <v>0</v>
      </c>
      <c r="M42" s="23"/>
      <c r="N42" s="24"/>
      <c r="O42" s="23">
        <f>SUM(P3:P41)</f>
        <v>0</v>
      </c>
      <c r="P42" s="23"/>
      <c r="Q42" s="24"/>
      <c r="R42" s="23">
        <f>SUM(S3:S41)</f>
        <v>0</v>
      </c>
      <c r="S42" s="23"/>
      <c r="T42" s="24"/>
      <c r="U42" s="23">
        <f>SUM(V3:V41)</f>
        <v>0</v>
      </c>
      <c r="V42" s="23"/>
      <c r="W42" s="23"/>
      <c r="X42" s="23"/>
    </row>
    <row r="43" spans="1:25">
      <c r="A43" s="23"/>
      <c r="B43" s="23"/>
      <c r="C43" s="23"/>
      <c r="D43" s="23"/>
      <c r="E43" s="23"/>
      <c r="F43" s="25" t="s">
        <v>728</v>
      </c>
      <c r="G43" s="25"/>
      <c r="H43" s="25"/>
      <c r="I43" s="25"/>
      <c r="J43" s="25">
        <f>I42+L42+O42+R42+U42</f>
        <v>0</v>
      </c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</row>
    <row r="44" spans="1:25">
      <c r="A44" s="23"/>
      <c r="B44" s="23"/>
      <c r="C44" s="23"/>
      <c r="D44" s="23"/>
      <c r="E44" s="23"/>
      <c r="F44" s="25" t="s">
        <v>653</v>
      </c>
      <c r="G44" s="23"/>
      <c r="H44" s="23"/>
      <c r="I44" s="23"/>
      <c r="J44" s="23">
        <f>SUM(Y2:Y40)</f>
        <v>0</v>
      </c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</row>
  </sheetData>
  <mergeCells count="5">
    <mergeCell ref="K1:M1"/>
    <mergeCell ref="Q1:S1"/>
    <mergeCell ref="T1:V1"/>
    <mergeCell ref="H1:J1"/>
    <mergeCell ref="N1:P1"/>
  </mergeCells>
  <conditionalFormatting sqref="X2:X41">
    <cfRule type="containsText" dxfId="42" priority="1" operator="containsText" text="OK">
      <formula>NOT(ISERROR(SEARCH("OK",X2)))</formula>
    </cfRule>
    <cfRule type="containsText" dxfId="41" priority="2" operator="containsText" text="errore">
      <formula>NOT(ISERROR(SEARCH("errore",X2)))</formula>
    </cfRule>
  </conditionalFormatting>
  <dataValidations count="2">
    <dataValidation type="list" allowBlank="1" showInputMessage="1" showErrorMessage="1" sqref="G3:G33" xr:uid="{25F46562-C763-4F00-BD4E-3E26216F6F23}">
      <formula1>lstTipoValutazione</formula1>
    </dataValidation>
    <dataValidation type="list" allowBlank="1" showInputMessage="1" showErrorMessage="1" sqref="AG3:AG4" xr:uid="{0720F8D0-D8D5-40C1-90B9-28F05B1908F1}">
      <formula1>"0,1,2,3,4,5,6,8,10"</formula1>
    </dataValidation>
  </dataValidation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43"/>
  <sheetViews>
    <sheetView workbookViewId="0">
      <selection activeCell="F3" sqref="F3"/>
    </sheetView>
  </sheetViews>
  <sheetFormatPr defaultColWidth="8.85546875" defaultRowHeight="15" customHeight="1" outlineLevelCol="1"/>
  <cols>
    <col min="1" max="1" width="12.140625" bestFit="1" customWidth="1"/>
    <col min="2" max="2" width="8.28515625" customWidth="1"/>
    <col min="6" max="6" width="65.85546875" customWidth="1"/>
    <col min="7" max="7" width="15.140625" bestFit="1" customWidth="1"/>
    <col min="8" max="8" width="4.42578125" customWidth="1" outlineLevel="1"/>
    <col min="9" max="10" width="4.42578125" customWidth="1"/>
    <col min="11" max="11" width="4.42578125" customWidth="1" outlineLevel="1"/>
    <col min="12" max="13" width="4.42578125" customWidth="1"/>
    <col min="14" max="14" width="4.42578125" customWidth="1" outlineLevel="1"/>
    <col min="15" max="16" width="4.42578125" customWidth="1"/>
    <col min="17" max="17" width="4.42578125" customWidth="1" outlineLevel="1"/>
    <col min="18" max="19" width="4.42578125" customWidth="1"/>
    <col min="20" max="20" width="4.42578125" customWidth="1" outlineLevel="1"/>
    <col min="21" max="22" width="4.42578125" customWidth="1"/>
    <col min="23" max="23" width="8.85546875" customWidth="1" outlineLevel="1"/>
    <col min="26" max="26" width="12.42578125" customWidth="1"/>
    <col min="27" max="27" width="9.42578125" bestFit="1" customWidth="1"/>
    <col min="28" max="28" width="12.42578125" customWidth="1"/>
    <col min="29" max="29" width="9.42578125" bestFit="1" customWidth="1"/>
    <col min="30" max="30" width="12.42578125" customWidth="1"/>
  </cols>
  <sheetData>
    <row r="1" spans="1:31" thickBot="1">
      <c r="B1" t="s">
        <v>705</v>
      </c>
      <c r="C1" t="s">
        <v>706</v>
      </c>
      <c r="D1" t="s">
        <v>707</v>
      </c>
      <c r="E1" t="s">
        <v>653</v>
      </c>
      <c r="H1" s="127" t="s">
        <v>709</v>
      </c>
      <c r="I1" s="144"/>
      <c r="J1" s="145"/>
      <c r="K1" s="126" t="s">
        <v>710</v>
      </c>
      <c r="L1" s="144"/>
      <c r="M1" s="145"/>
      <c r="N1" s="126" t="s">
        <v>711</v>
      </c>
      <c r="O1" s="144"/>
      <c r="P1" s="145"/>
      <c r="Q1" s="126" t="s">
        <v>712</v>
      </c>
      <c r="R1" s="144"/>
      <c r="S1" s="145"/>
      <c r="T1" s="126" t="s">
        <v>713</v>
      </c>
      <c r="U1" s="144"/>
      <c r="V1" s="145"/>
    </row>
    <row r="2" spans="1:31" ht="15" customHeight="1">
      <c r="A2" t="str">
        <f>IF(G2&lt;&gt;"",ScenaAttiva&amp;"_"&amp;AB$4&amp;TEXT(COUNTIF($G2:G$3,"&lt;&gt;"),"0000"),"")</f>
        <v/>
      </c>
      <c r="B2" t="str">
        <f>IF(A2&lt;&gt;"",SquadraAttiva,"")</f>
        <v/>
      </c>
      <c r="C2" t="str">
        <f>IF(A2&lt;&gt;"",TEXT(B2,"0")&amp;"-"&amp;TRIM(A2),"")</f>
        <v/>
      </c>
      <c r="D2" t="str">
        <f>IFERROR(_xlfn.XLOOKUP(C2,tblRisposte[idValutazione],tblRisposte[Valore],""),"")</f>
        <v/>
      </c>
      <c r="F2" s="15" t="s">
        <v>117</v>
      </c>
      <c r="I2" s="18"/>
      <c r="J2" s="1"/>
      <c r="K2" s="2"/>
      <c r="L2" s="18"/>
      <c r="M2" s="1"/>
      <c r="N2" s="2"/>
      <c r="O2" s="18"/>
      <c r="P2" s="1"/>
      <c r="Q2" s="2"/>
      <c r="R2" s="18"/>
      <c r="S2" s="1"/>
      <c r="T2" s="2"/>
      <c r="U2" s="18"/>
      <c r="V2" s="1"/>
      <c r="Z2" s="4" t="s">
        <v>715</v>
      </c>
      <c r="AA2" s="5" t="str">
        <f t="array" ref="AA2">ScenaAttiva</f>
        <v>A</v>
      </c>
      <c r="AB2" s="5" t="s">
        <v>278</v>
      </c>
      <c r="AC2" s="5">
        <f t="array" ref="AC2">SquadraAttiva</f>
        <v>3</v>
      </c>
      <c r="AD2" s="5" t="s">
        <v>661</v>
      </c>
      <c r="AE2" s="6">
        <v>4</v>
      </c>
    </row>
    <row r="3" spans="1:31" ht="15" customHeight="1">
      <c r="A3" t="str">
        <f>IF(G3&lt;&gt;"",ScenaAttiva&amp;"_"&amp;AB$4&amp;TEXT(COUNTIF($G3:G$3,"&lt;&gt;"),"0000"),"")</f>
        <v>A_PBL0001</v>
      </c>
      <c r="B3">
        <f>IF(A3&lt;&gt;"",SquadraAttiva,"")</f>
        <v>3</v>
      </c>
      <c r="C3" t="str">
        <f t="shared" ref="C3:C33" si="0">IF(A3&lt;&gt;"",TEXT(B3,"0")&amp;"-"&amp;TRIM(A3),"")</f>
        <v>3-A_PBL0001</v>
      </c>
      <c r="D3">
        <f>IFERROR(_xlfn.XLOOKUP(C3,tblRisposte[idValutazione],tblRisposte[Valore],""),"")</f>
        <v>3</v>
      </c>
      <c r="F3" s="78" t="s">
        <v>119</v>
      </c>
      <c r="G3" t="s">
        <v>36</v>
      </c>
      <c r="H3" cm="1">
        <f t="array" ref="H3">_xlfn.LET(_xlpm.v,_xlfn.XLOOKUP(G3,tblValutazioni[TipoValutazione],tblValutazioni[MB],""),IF(_xlpm.v="","",_xlpm.v))</f>
        <v>3</v>
      </c>
      <c r="I3" s="18">
        <f>IF(_xlfn.XLOOKUP($A3, tblRisposte[ItemKey],tblRisposte[Valore],"")="Molto bene","X",0)</f>
        <v>0</v>
      </c>
      <c r="J3" s="1">
        <f>IF((I3="X"),H3,0)</f>
        <v>0</v>
      </c>
      <c r="K3" s="2" t="str" cm="1">
        <f t="array" ref="K3">_xlfn.LET(_xlpm.v,_xlfn.XLOOKUP(G3,tblValutazioni[TipoValutazione],tblValutazioni[BE],""),IF(_xlpm.v="","",_xlpm.v))</f>
        <v/>
      </c>
      <c r="L3" s="18">
        <f>IF(_xlfn.XLOOKUP($A3, tblRisposte[ItemKey], tblRisposte[Valore], "")="Bene","X",0)</f>
        <v>0</v>
      </c>
      <c r="M3" s="1">
        <f>IF((L3="X"),K3,0)</f>
        <v>0</v>
      </c>
      <c r="N3" s="2" cm="1">
        <f t="array" ref="N3">_xlfn.LET(_xlpm.v,_xlfn.XLOOKUP(G3,tblValutazioni[TipoValutazione],tblValutazioni[SU],""),IF(_xlpm.v="","",_xlpm.v))</f>
        <v>1</v>
      </c>
      <c r="O3" s="18">
        <f>IF(_xlfn.XLOOKUP($A3, tblRisposte[ItemKey], tblRisposte[Valore], "")="Soddisfacente","X",0)</f>
        <v>0</v>
      </c>
      <c r="P3" s="1">
        <f>IF((O3="X"),N3,0)</f>
        <v>0</v>
      </c>
      <c r="Q3" s="2" t="str" cm="1">
        <f t="array" ref="Q3">_xlfn.LET(_xlpm.v,_xlfn.XLOOKUP(G3,tblValutazioni[TipoValutazione],tblValutazioni[IN],""),IF(_xlpm.v="","",_xlpm.v))</f>
        <v/>
      </c>
      <c r="R3" s="18">
        <f>IF(_xlfn.XLOOKUP($A3, tblRisposte[ItemKey], tblRisposte[Valore], "")="Insufficiente","X",0)</f>
        <v>0</v>
      </c>
      <c r="S3" s="1">
        <f>IF((R3="X"),Q3,0)</f>
        <v>0</v>
      </c>
      <c r="T3" s="2" cm="1">
        <f t="array" ref="T3">_xlfn.LET(_xlpm.v,_xlfn.XLOOKUP(G3,tblValutazioni[TipoValutazione],tblValutazioni[NE],""),IF(_xlpm.v="","",_xlpm.v))</f>
        <v>0</v>
      </c>
      <c r="U3" s="18">
        <f>IF(_xlfn.XLOOKUP($A3, tblRisposte[ItemKey], tblRisposte[Valore], "")="Non eseguito","X",0)</f>
        <v>0</v>
      </c>
      <c r="V3" s="1">
        <f>IF((U3="X"),T3,0)</f>
        <v>0</v>
      </c>
      <c r="W3">
        <f>COUNTIF(I3,"x")+COUNTIF(L3,"x")+COUNTIF(O3,"x")+COUNTIF(R3,"x")+COUNTIF(U3,"x")</f>
        <v>0</v>
      </c>
      <c r="X3" t="str">
        <f>IF(COUNTIF(I3:U3,"X")=1,"OK","errore")</f>
        <v>errore</v>
      </c>
      <c r="Y3" t="str">
        <f>IF(B3="SEP",IF(I3="x",H3,IF(L3="X",K3,IF(O3="x",N3,IF(R3="X",Q3,IF(U3="X",T3,""))))),"")</f>
        <v/>
      </c>
      <c r="Z3" s="7"/>
      <c r="AE3" s="8"/>
    </row>
    <row r="4" spans="1:31" ht="15" customHeight="1">
      <c r="A4" t="str">
        <f>IF(G4&lt;&gt;"",ScenaAttiva&amp;"_"&amp;AB$4&amp;TEXT(COUNTIF($G$3:G4,"&lt;&gt;"),"0000"),"")</f>
        <v>A_PBL0002</v>
      </c>
      <c r="B4">
        <f>IF(A4&lt;&gt;"",SquadraAttiva,"")</f>
        <v>3</v>
      </c>
      <c r="C4" t="str">
        <f t="shared" si="0"/>
        <v>3-A_PBL0002</v>
      </c>
      <c r="D4">
        <f>IFERROR(_xlfn.XLOOKUP(C4,tblRisposte[idValutazione],tblRisposte[Valore],""),"")</f>
        <v>2</v>
      </c>
      <c r="F4" s="78" t="s">
        <v>121</v>
      </c>
      <c r="G4" t="s">
        <v>35</v>
      </c>
      <c r="H4" cm="1">
        <f t="array" ref="H4">_xlfn.LET(_xlpm.v,_xlfn.XLOOKUP(G4,tblValutazioni[TipoValutazione],tblValutazioni[MB],""),IF(_xlpm.v="","",_xlpm.v))</f>
        <v>5</v>
      </c>
      <c r="I4" s="18">
        <f>IF(_xlfn.XLOOKUP($A4, tblRisposte[ItemKey],tblRisposte[Valore],"")="Molto bene","X",0)</f>
        <v>0</v>
      </c>
      <c r="J4" s="1">
        <f t="shared" ref="J4:J40" si="1">IF((I4="X"),H4,0)</f>
        <v>0</v>
      </c>
      <c r="K4" s="2" cm="1">
        <f t="array" ref="K4">_xlfn.LET(_xlpm.v,_xlfn.XLOOKUP(G4,tblValutazioni[TipoValutazione],tblValutazioni[BE],""),IF(_xlpm.v="","",_xlpm.v))</f>
        <v>4</v>
      </c>
      <c r="L4" s="18">
        <f>IF(_xlfn.XLOOKUP($A4, tblRisposte[ItemKey], tblRisposte[Valore], "")="Bene","X",0)</f>
        <v>0</v>
      </c>
      <c r="M4" s="1">
        <f t="shared" ref="M4:M40" si="2">IF((L4="X"),K4,0)</f>
        <v>0</v>
      </c>
      <c r="N4" s="2" cm="1">
        <f t="array" ref="N4">_xlfn.LET(_xlpm.v,_xlfn.XLOOKUP(G4,tblValutazioni[TipoValutazione],tblValutazioni[SU],""),IF(_xlpm.v="","",_xlpm.v))</f>
        <v>2</v>
      </c>
      <c r="O4" s="18">
        <f>IF(_xlfn.XLOOKUP($A4, tblRisposte[ItemKey], tblRisposte[Valore], "")="Soddisfacente","X",0)</f>
        <v>0</v>
      </c>
      <c r="P4" s="1">
        <f t="shared" ref="P4:P40" si="3">IF((O4="X"),N4,0)</f>
        <v>0</v>
      </c>
      <c r="Q4" s="2" cm="1">
        <f t="array" ref="Q4">_xlfn.LET(_xlpm.v,_xlfn.XLOOKUP(G4,tblValutazioni[TipoValutazione],tblValutazioni[IN],""),IF(_xlpm.v="","",_xlpm.v))</f>
        <v>1</v>
      </c>
      <c r="R4" s="18">
        <f>IF(_xlfn.XLOOKUP($A4, tblRisposte[ItemKey], tblRisposte[Valore], "")="Insufficiente","X",0)</f>
        <v>0</v>
      </c>
      <c r="S4" s="1">
        <f t="shared" ref="S4:S40" si="4">IF((R4="X"),Q4,0)</f>
        <v>0</v>
      </c>
      <c r="T4" s="2" cm="1">
        <f t="array" ref="T4">_xlfn.LET(_xlpm.v,_xlfn.XLOOKUP(G4,tblValutazioni[TipoValutazione],tblValutazioni[NE],""),IF(_xlpm.v="","",_xlpm.v))</f>
        <v>0</v>
      </c>
      <c r="U4" s="18">
        <f>IF(_xlfn.XLOOKUP($A4, tblRisposte[ItemKey], tblRisposte[Valore], "")="Non eseguito","X",0)</f>
        <v>0</v>
      </c>
      <c r="V4" s="1">
        <f t="shared" ref="V4:V40" si="5">IF((U4="X"),T4,0)</f>
        <v>0</v>
      </c>
      <c r="W4">
        <f t="shared" ref="W4:W40" si="6">COUNTIF(I4,"x")+COUNTIF(L4,"x")+COUNTIF(O4,"x")+COUNTIF(R4,"x")+COUNTIF(U4,"x")</f>
        <v>0</v>
      </c>
      <c r="X4" t="str">
        <f>IF(COUNTIF(I4:U4,"X")=1,"OK","errore")</f>
        <v>errore</v>
      </c>
      <c r="Y4" t="str">
        <f>IF(B4="SEP",IF(I4="x",H4,IF(L4="X",K4,IF(O4="x",N4,IF(R4="X",Q4,IF(U4="X",T4,""))))),"")</f>
        <v/>
      </c>
      <c r="Z4" s="9" t="s">
        <v>662</v>
      </c>
      <c r="AA4" s="10">
        <v>1</v>
      </c>
      <c r="AB4" t="str" cm="1">
        <f t="array" ref="AB4">INDEX(tblMapSchede[[#All],[SIGLA]],AA$4+2)</f>
        <v>PBL</v>
      </c>
      <c r="AC4" s="10"/>
      <c r="AD4" s="10"/>
      <c r="AE4" s="11"/>
    </row>
    <row r="5" spans="1:31" ht="15" customHeight="1">
      <c r="A5" t="str">
        <f>IF(G5&lt;&gt;"",ScenaAttiva&amp;"_"&amp;AB$4&amp;TEXT(COUNTIF($G$3:G5,"&lt;&gt;"),"0000"),"")</f>
        <v>A_PBL0003</v>
      </c>
      <c r="B5">
        <f>IF(A5&lt;&gt;"",SquadraAttiva,"")</f>
        <v>3</v>
      </c>
      <c r="C5" t="str">
        <f t="shared" si="0"/>
        <v>3-A_PBL0003</v>
      </c>
      <c r="D5">
        <f>IFERROR(_xlfn.XLOOKUP(C5,tblRisposte[idValutazione],tblRisposte[Valore],""),"")</f>
        <v>0</v>
      </c>
      <c r="E5" t="s">
        <v>653</v>
      </c>
      <c r="F5" s="78" t="s">
        <v>63</v>
      </c>
      <c r="G5" t="s">
        <v>36</v>
      </c>
      <c r="H5" cm="1">
        <f t="array" ref="H5">_xlfn.LET(_xlpm.v,_xlfn.XLOOKUP(G5,tblValutazioni[TipoValutazione],tblValutazioni[MB],""),IF(_xlpm.v="","",_xlpm.v))</f>
        <v>3</v>
      </c>
      <c r="I5" s="18">
        <f>IF(_xlfn.XLOOKUP($A5, tblRisposte[ItemKey],tblRisposte[Valore],"")="Molto bene","X",0)</f>
        <v>0</v>
      </c>
      <c r="J5" s="1">
        <f t="shared" si="1"/>
        <v>0</v>
      </c>
      <c r="K5" s="2" t="str" cm="1">
        <f t="array" ref="K5">_xlfn.LET(_xlpm.v,_xlfn.XLOOKUP(G5,tblValutazioni[TipoValutazione],tblValutazioni[BE],""),IF(_xlpm.v="","",_xlpm.v))</f>
        <v/>
      </c>
      <c r="L5" s="18">
        <f>IF(_xlfn.XLOOKUP($A5, tblRisposte[ItemKey], tblRisposte[Valore], "")="Bene","X",0)</f>
        <v>0</v>
      </c>
      <c r="M5" s="1">
        <f t="shared" si="2"/>
        <v>0</v>
      </c>
      <c r="N5" s="2" cm="1">
        <f t="array" ref="N5">_xlfn.LET(_xlpm.v,_xlfn.XLOOKUP(G5,tblValutazioni[TipoValutazione],tblValutazioni[SU],""),IF(_xlpm.v="","",_xlpm.v))</f>
        <v>1</v>
      </c>
      <c r="O5" s="18">
        <f>IF(_xlfn.XLOOKUP($A5, tblRisposte[ItemKey], tblRisposte[Valore], "")="Soddisfacente","X",0)</f>
        <v>0</v>
      </c>
      <c r="P5" s="1">
        <f t="shared" si="3"/>
        <v>0</v>
      </c>
      <c r="Q5" s="2" t="str" cm="1">
        <f t="array" ref="Q5">_xlfn.LET(_xlpm.v,_xlfn.XLOOKUP(G5,tblValutazioni[TipoValutazione],tblValutazioni[IN],""),IF(_xlpm.v="","",_xlpm.v))</f>
        <v/>
      </c>
      <c r="R5" s="18">
        <f>IF(_xlfn.XLOOKUP($A5, tblRisposte[ItemKey], tblRisposte[Valore], "")="Insufficiente","X",0)</f>
        <v>0</v>
      </c>
      <c r="S5" s="1">
        <f t="shared" si="4"/>
        <v>0</v>
      </c>
      <c r="T5" s="2" cm="1">
        <f t="array" ref="T5">_xlfn.LET(_xlpm.v,_xlfn.XLOOKUP(G5,tblValutazioni[TipoValutazione],tblValutazioni[NE],""),IF(_xlpm.v="","",_xlpm.v))</f>
        <v>0</v>
      </c>
      <c r="U5" s="18">
        <f>IF(_xlfn.XLOOKUP($A5, tblRisposte[ItemKey], tblRisposte[Valore], "")="Non eseguito","X",0)</f>
        <v>0</v>
      </c>
      <c r="V5" s="1">
        <f t="shared" si="5"/>
        <v>0</v>
      </c>
      <c r="W5">
        <f t="shared" si="6"/>
        <v>0</v>
      </c>
      <c r="X5" t="str">
        <f>IF(COUNTIF(I5:U5,"X")=1,"OK","errore")</f>
        <v>errore</v>
      </c>
      <c r="Y5" t="str">
        <f>IF(B5="SEP",IF(I5="x",H5,IF(L5="X",K5,IF(O5="x",N5,IF(R5="X",Q5,IF(U5="X",T5,""))))),"")</f>
        <v/>
      </c>
    </row>
    <row r="6" spans="1:31" ht="15" customHeight="1">
      <c r="A6" t="str">
        <f>IF(G6&lt;&gt;"",ScenaAttiva&amp;"_"&amp;AB$4&amp;TEXT(COUNTIF($G$3:G6,"&lt;&gt;"),"0000"),"")</f>
        <v>A_PBL0004</v>
      </c>
      <c r="B6">
        <f>IF(A6&lt;&gt;"",SquadraAttiva,"")</f>
        <v>3</v>
      </c>
      <c r="C6" t="str">
        <f t="shared" si="0"/>
        <v>3-A_PBL0004</v>
      </c>
      <c r="D6">
        <f>IFERROR(_xlfn.XLOOKUP(C6,tblRisposte[idValutazione],tblRisposte[Valore],""),"")</f>
        <v>1</v>
      </c>
      <c r="E6" t="s">
        <v>653</v>
      </c>
      <c r="F6" s="78" t="s">
        <v>124</v>
      </c>
      <c r="G6" t="s">
        <v>35</v>
      </c>
      <c r="H6" cm="1">
        <f t="array" ref="H6">_xlfn.LET(_xlpm.v,_xlfn.XLOOKUP(G6,tblValutazioni[TipoValutazione],tblValutazioni[MB],""),IF(_xlpm.v="","",_xlpm.v))</f>
        <v>5</v>
      </c>
      <c r="I6" s="18">
        <f>IF(_xlfn.XLOOKUP($A6, tblRisposte[ItemKey],tblRisposte[Valore],"")="Molto bene","X",0)</f>
        <v>0</v>
      </c>
      <c r="J6" s="1">
        <f t="shared" si="1"/>
        <v>0</v>
      </c>
      <c r="K6" s="2" cm="1">
        <f t="array" ref="K6">_xlfn.LET(_xlpm.v,_xlfn.XLOOKUP(G6,tblValutazioni[TipoValutazione],tblValutazioni[BE],""),IF(_xlpm.v="","",_xlpm.v))</f>
        <v>4</v>
      </c>
      <c r="L6" s="18">
        <f>IF(_xlfn.XLOOKUP($A6, tblRisposte[ItemKey], tblRisposte[Valore], "")="Bene","X",0)</f>
        <v>0</v>
      </c>
      <c r="M6" s="1">
        <f t="shared" si="2"/>
        <v>0</v>
      </c>
      <c r="N6" s="2" cm="1">
        <f t="array" ref="N6">_xlfn.LET(_xlpm.v,_xlfn.XLOOKUP(G6,tblValutazioni[TipoValutazione],tblValutazioni[SU],""),IF(_xlpm.v="","",_xlpm.v))</f>
        <v>2</v>
      </c>
      <c r="O6" s="18">
        <f>IF(_xlfn.XLOOKUP($A6, tblRisposte[ItemKey], tblRisposte[Valore], "")="Soddisfacente","X",0)</f>
        <v>0</v>
      </c>
      <c r="P6" s="1">
        <f t="shared" si="3"/>
        <v>0</v>
      </c>
      <c r="Q6" s="2" cm="1">
        <f t="array" ref="Q6">_xlfn.LET(_xlpm.v,_xlfn.XLOOKUP(G6,tblValutazioni[TipoValutazione],tblValutazioni[IN],""),IF(_xlpm.v="","",_xlpm.v))</f>
        <v>1</v>
      </c>
      <c r="R6" s="18">
        <f>IF(_xlfn.XLOOKUP($A6, tblRisposte[ItemKey], tblRisposte[Valore], "")="Insufficiente","X",0)</f>
        <v>0</v>
      </c>
      <c r="S6" s="1">
        <f t="shared" si="4"/>
        <v>0</v>
      </c>
      <c r="T6" s="2" cm="1">
        <f t="array" ref="T6">_xlfn.LET(_xlpm.v,_xlfn.XLOOKUP(G6,tblValutazioni[TipoValutazione],tblValutazioni[NE],""),IF(_xlpm.v="","",_xlpm.v))</f>
        <v>0</v>
      </c>
      <c r="U6" s="18">
        <f>IF(_xlfn.XLOOKUP($A6, tblRisposte[ItemKey], tblRisposte[Valore], "")="Non eseguito","X",0)</f>
        <v>0</v>
      </c>
      <c r="V6" s="1">
        <f t="shared" si="5"/>
        <v>0</v>
      </c>
      <c r="W6">
        <f t="shared" si="6"/>
        <v>0</v>
      </c>
      <c r="X6" t="str">
        <f>IF(COUNTIF(I6:U6,"X")=1,"OK","errore")</f>
        <v>errore</v>
      </c>
      <c r="Y6" t="str">
        <f>IF(B6="SEP",IF(I6="x",H6,IF(L6="X",K6,IF(O6="x",N6,IF(R6="X",Q6,IF(U6="X",T6,""))))),"")</f>
        <v/>
      </c>
      <c r="Z6" t="s">
        <v>717</v>
      </c>
    </row>
    <row r="7" spans="1:31" ht="15" customHeight="1">
      <c r="A7" t="str">
        <f>IF(G7&lt;&gt;"",ScenaAttiva&amp;"_"&amp;AB$4&amp;TEXT(COUNTIF($G$3:G7,"&lt;&gt;"),"0000"),"")</f>
        <v>A_PBL0005</v>
      </c>
      <c r="B7">
        <f>IF(A7&lt;&gt;"",SquadraAttiva,"")</f>
        <v>3</v>
      </c>
      <c r="C7" t="str">
        <f t="shared" si="0"/>
        <v>3-A_PBL0005</v>
      </c>
      <c r="D7">
        <f>IFERROR(_xlfn.XLOOKUP(C7,tblRisposte[idValutazione],tblRisposte[Valore],""),"")</f>
        <v>0</v>
      </c>
      <c r="E7" t="s">
        <v>653</v>
      </c>
      <c r="F7" s="78" t="s">
        <v>126</v>
      </c>
      <c r="G7" t="s">
        <v>36</v>
      </c>
      <c r="H7" cm="1">
        <f t="array" ref="H7">_xlfn.LET(_xlpm.v,_xlfn.XLOOKUP(G7,tblValutazioni[TipoValutazione],tblValutazioni[MB],""),IF(_xlpm.v="","",_xlpm.v))</f>
        <v>3</v>
      </c>
      <c r="I7" s="18">
        <f>IF(_xlfn.XLOOKUP($A7, tblRisposte[ItemKey],tblRisposte[Valore],"")="Molto bene","X",0)</f>
        <v>0</v>
      </c>
      <c r="J7" s="1">
        <f t="shared" si="1"/>
        <v>0</v>
      </c>
      <c r="K7" s="2" t="str" cm="1">
        <f t="array" ref="K7">_xlfn.LET(_xlpm.v,_xlfn.XLOOKUP(G7,tblValutazioni[TipoValutazione],tblValutazioni[BE],""),IF(_xlpm.v="","",_xlpm.v))</f>
        <v/>
      </c>
      <c r="L7" s="18">
        <f>IF(_xlfn.XLOOKUP($A7, tblRisposte[ItemKey], tblRisposte[Valore], "")="Bene","X",0)</f>
        <v>0</v>
      </c>
      <c r="M7" s="1">
        <f t="shared" si="2"/>
        <v>0</v>
      </c>
      <c r="N7" s="2" cm="1">
        <f t="array" ref="N7">_xlfn.LET(_xlpm.v,_xlfn.XLOOKUP(G7,tblValutazioni[TipoValutazione],tblValutazioni[SU],""),IF(_xlpm.v="","",_xlpm.v))</f>
        <v>1</v>
      </c>
      <c r="O7" s="18">
        <f>IF(_xlfn.XLOOKUP($A7, tblRisposte[ItemKey], tblRisposte[Valore], "")="Soddisfacente","X",0)</f>
        <v>0</v>
      </c>
      <c r="P7" s="1">
        <f t="shared" si="3"/>
        <v>0</v>
      </c>
      <c r="Q7" s="2" t="str" cm="1">
        <f t="array" ref="Q7">_xlfn.LET(_xlpm.v,_xlfn.XLOOKUP(G7,tblValutazioni[TipoValutazione],tblValutazioni[IN],""),IF(_xlpm.v="","",_xlpm.v))</f>
        <v/>
      </c>
      <c r="R7" s="18">
        <f>IF(_xlfn.XLOOKUP($A7, tblRisposte[ItemKey], tblRisposte[Valore], "")="Insufficiente","X",0)</f>
        <v>0</v>
      </c>
      <c r="S7" s="1">
        <f t="shared" si="4"/>
        <v>0</v>
      </c>
      <c r="T7" s="2" cm="1">
        <f t="array" ref="T7">_xlfn.LET(_xlpm.v,_xlfn.XLOOKUP(G7,tblValutazioni[TipoValutazione],tblValutazioni[NE],""),IF(_xlpm.v="","",_xlpm.v))</f>
        <v>0</v>
      </c>
      <c r="U7" s="18">
        <f>IF(_xlfn.XLOOKUP($A7, tblRisposte[ItemKey], tblRisposte[Valore], "")="Non eseguito","X",0)</f>
        <v>0</v>
      </c>
      <c r="V7" s="1">
        <f t="shared" si="5"/>
        <v>0</v>
      </c>
      <c r="W7">
        <f t="shared" si="6"/>
        <v>0</v>
      </c>
      <c r="X7" t="str">
        <f>IF(COUNTIF(I7:U7,"X")=1,"OK","errore")</f>
        <v>errore</v>
      </c>
      <c r="Y7" t="str">
        <f>IF(B7="SEP",IF(I7="x",H7,IF(L7="X",K7,IF(O7="x",N7,IF(R7="X",Q7,IF(U7="X",T7,""))))),"")</f>
        <v/>
      </c>
    </row>
    <row r="8" spans="1:31" ht="15" customHeight="1">
      <c r="A8" t="str">
        <f>IF(G8&lt;&gt;"",ScenaAttiva&amp;"_"&amp;AB$4&amp;TEXT(COUNTIF($G$3:G8,"&lt;&gt;"),"0000"),"")</f>
        <v/>
      </c>
      <c r="B8" t="str">
        <f>IF(A8&lt;&gt;"",SquadraAttiva,"")</f>
        <v/>
      </c>
      <c r="C8" t="str">
        <f t="shared" si="0"/>
        <v/>
      </c>
      <c r="D8" t="str">
        <f>IFERROR(_xlfn.XLOOKUP(C8,tblRisposte[idValutazione],tblRisposte[Valore],""),"")</f>
        <v/>
      </c>
      <c r="F8" s="82" t="s">
        <v>128</v>
      </c>
      <c r="H8" t="str" cm="1">
        <f t="array" ref="H8">_xlfn.LET(_xlpm.v,_xlfn.XLOOKUP(G8,tblValutazioni[TipoValutazione],tblValutazioni[MB],""),IF(_xlpm.v="","",_xlpm.v))</f>
        <v/>
      </c>
      <c r="I8" s="18">
        <f>IF(_xlfn.XLOOKUP($A8, tblRisposte[ItemKey],tblRisposte[Valore],"")="Molto bene","X",0)</f>
        <v>0</v>
      </c>
      <c r="J8" s="1">
        <f t="shared" si="1"/>
        <v>0</v>
      </c>
      <c r="K8" s="2" t="str" cm="1">
        <f t="array" ref="K8">_xlfn.LET(_xlpm.v,_xlfn.XLOOKUP(G8,tblValutazioni[TipoValutazione],tblValutazioni[BE],""),IF(_xlpm.v="","",_xlpm.v))</f>
        <v/>
      </c>
      <c r="L8" s="18">
        <f>IF(_xlfn.XLOOKUP($A8, tblRisposte[ItemKey], tblRisposte[Valore], "")="Bene","X",0)</f>
        <v>0</v>
      </c>
      <c r="M8" s="1">
        <f t="shared" si="2"/>
        <v>0</v>
      </c>
      <c r="N8" s="2" t="str" cm="1">
        <f t="array" ref="N8">_xlfn.LET(_xlpm.v,_xlfn.XLOOKUP(G8,tblValutazioni[TipoValutazione],tblValutazioni[SU],""),IF(_xlpm.v="","",_xlpm.v))</f>
        <v/>
      </c>
      <c r="O8" s="18">
        <f>IF(_xlfn.XLOOKUP($A8, tblRisposte[ItemKey], tblRisposte[Valore], "")="Soddisfacente","X",0)</f>
        <v>0</v>
      </c>
      <c r="P8" s="1">
        <f t="shared" si="3"/>
        <v>0</v>
      </c>
      <c r="Q8" s="2" t="str" cm="1">
        <f t="array" ref="Q8">_xlfn.LET(_xlpm.v,_xlfn.XLOOKUP(G8,tblValutazioni[TipoValutazione],tblValutazioni[IN],""),IF(_xlpm.v="","",_xlpm.v))</f>
        <v/>
      </c>
      <c r="R8" s="18">
        <f>IF(_xlfn.XLOOKUP($A8, tblRisposte[ItemKey], tblRisposte[Valore], "")="Insufficiente","X",0)</f>
        <v>0</v>
      </c>
      <c r="S8" s="1">
        <f t="shared" si="4"/>
        <v>0</v>
      </c>
      <c r="T8" s="2" t="str" cm="1">
        <f t="array" ref="T8">_xlfn.LET(_xlpm.v,_xlfn.XLOOKUP(G8,tblValutazioni[TipoValutazione],tblValutazioni[NE],""),IF(_xlpm.v="","",_xlpm.v))</f>
        <v/>
      </c>
      <c r="U8" s="18">
        <f>IF(_xlfn.XLOOKUP($A8, tblRisposte[ItemKey], tblRisposte[Valore], "")="Non eseguito","X",0)</f>
        <v>0</v>
      </c>
      <c r="V8" s="1">
        <f t="shared" si="5"/>
        <v>0</v>
      </c>
      <c r="W8">
        <f t="shared" si="6"/>
        <v>0</v>
      </c>
      <c r="X8" t="str">
        <f>IF(COUNTIF(I8:U8,"X")=1,"OK","errore")</f>
        <v>errore</v>
      </c>
      <c r="Y8" t="str">
        <f>IF(B8="SEP",IF(I8="x",H8,IF(L8="X",K8,IF(O8="x",N8,IF(R8="X",Q8,IF(U8="X",T8,""))))),"")</f>
        <v/>
      </c>
      <c r="Z8" t="s">
        <v>729</v>
      </c>
    </row>
    <row r="9" spans="1:31" ht="15" customHeight="1">
      <c r="A9" t="str">
        <f>IF(G9&lt;&gt;"",ScenaAttiva&amp;"_"&amp;AB$4&amp;TEXT(COUNTIF($G$3:G9,"&lt;&gt;"),"0000"),"")</f>
        <v>A_PBL0006</v>
      </c>
      <c r="B9">
        <f>IF(A9&lt;&gt;"",SquadraAttiva,"")</f>
        <v>3</v>
      </c>
      <c r="C9" t="str">
        <f t="shared" si="0"/>
        <v>3-A_PBL0006</v>
      </c>
      <c r="D9">
        <f>IFERROR(_xlfn.XLOOKUP(C9,tblRisposte[idValutazione],tblRisposte[Valore],""),"")</f>
        <v>1</v>
      </c>
      <c r="F9" s="82" t="s">
        <v>130</v>
      </c>
      <c r="G9" t="s">
        <v>35</v>
      </c>
      <c r="H9" cm="1">
        <f t="array" ref="H9">_xlfn.LET(_xlpm.v,_xlfn.XLOOKUP(G9,tblValutazioni[TipoValutazione],tblValutazioni[MB],""),IF(_xlpm.v="","",_xlpm.v))</f>
        <v>5</v>
      </c>
      <c r="I9" s="18">
        <f>IF(_xlfn.XLOOKUP($A9, tblRisposte[ItemKey],tblRisposte[Valore],"")="Molto bene","X",0)</f>
        <v>0</v>
      </c>
      <c r="J9" s="1">
        <f t="shared" si="1"/>
        <v>0</v>
      </c>
      <c r="K9" s="2" cm="1">
        <f t="array" ref="K9">_xlfn.LET(_xlpm.v,_xlfn.XLOOKUP(G9,tblValutazioni[TipoValutazione],tblValutazioni[BE],""),IF(_xlpm.v="","",_xlpm.v))</f>
        <v>4</v>
      </c>
      <c r="L9" s="18">
        <f>IF(_xlfn.XLOOKUP($A9, tblRisposte[ItemKey], tblRisposte[Valore], "")="Bene","X",0)</f>
        <v>0</v>
      </c>
      <c r="M9" s="1">
        <f t="shared" si="2"/>
        <v>0</v>
      </c>
      <c r="N9" s="2" cm="1">
        <f t="array" ref="N9">_xlfn.LET(_xlpm.v,_xlfn.XLOOKUP(G9,tblValutazioni[TipoValutazione],tblValutazioni[SU],""),IF(_xlpm.v="","",_xlpm.v))</f>
        <v>2</v>
      </c>
      <c r="O9" s="18">
        <f>IF(_xlfn.XLOOKUP($A9, tblRisposte[ItemKey], tblRisposte[Valore], "")="Soddisfacente","X",0)</f>
        <v>0</v>
      </c>
      <c r="P9" s="1">
        <f t="shared" si="3"/>
        <v>0</v>
      </c>
      <c r="Q9" s="2" cm="1">
        <f t="array" ref="Q9">_xlfn.LET(_xlpm.v,_xlfn.XLOOKUP(G9,tblValutazioni[TipoValutazione],tblValutazioni[IN],""),IF(_xlpm.v="","",_xlpm.v))</f>
        <v>1</v>
      </c>
      <c r="R9" s="18">
        <f>IF(_xlfn.XLOOKUP($A9, tblRisposte[ItemKey], tblRisposte[Valore], "")="Insufficiente","X",0)</f>
        <v>0</v>
      </c>
      <c r="S9" s="1">
        <f t="shared" si="4"/>
        <v>0</v>
      </c>
      <c r="T9" s="2" cm="1">
        <f t="array" ref="T9">_xlfn.LET(_xlpm.v,_xlfn.XLOOKUP(G9,tblValutazioni[TipoValutazione],tblValutazioni[NE],""),IF(_xlpm.v="","",_xlpm.v))</f>
        <v>0</v>
      </c>
      <c r="U9" s="18">
        <f>IF(_xlfn.XLOOKUP($A9, tblRisposte[ItemKey], tblRisposte[Valore], "")="Non eseguito","X",0)</f>
        <v>0</v>
      </c>
      <c r="V9" s="1">
        <f t="shared" si="5"/>
        <v>0</v>
      </c>
      <c r="W9">
        <f t="shared" si="6"/>
        <v>0</v>
      </c>
      <c r="X9" t="str">
        <f>IF(COUNTIF(I9:U9,"X")=1,"OK","errore")</f>
        <v>errore</v>
      </c>
      <c r="Y9" t="str">
        <f>IF(B9="SEP",IF(I9="x",H9,IF(L9="X",K9,IF(O9="x",N9,IF(R9="X",Q9,IF(U9="X",T9,""))))),"")</f>
        <v/>
      </c>
    </row>
    <row r="10" spans="1:31" ht="15" customHeight="1">
      <c r="A10" t="str">
        <f>IF(G10&lt;&gt;"",ScenaAttiva&amp;"_"&amp;AB$4&amp;TEXT(COUNTIF($G$3:G10,"&lt;&gt;"),"0000"),"")</f>
        <v>A_PBL0007</v>
      </c>
      <c r="B10">
        <f>IF(A10&lt;&gt;"",SquadraAttiva,"")</f>
        <v>3</v>
      </c>
      <c r="C10" t="str">
        <f t="shared" si="0"/>
        <v>3-A_PBL0007</v>
      </c>
      <c r="D10">
        <f>IFERROR(_xlfn.XLOOKUP(C10,tblRisposte[idValutazione],tblRisposte[Valore],""),"")</f>
        <v>2</v>
      </c>
      <c r="F10" s="82" t="s">
        <v>132</v>
      </c>
      <c r="G10" t="s">
        <v>35</v>
      </c>
      <c r="H10" cm="1">
        <f t="array" ref="H10">_xlfn.LET(_xlpm.v,_xlfn.XLOOKUP(G10,tblValutazioni[TipoValutazione],tblValutazioni[MB],""),IF(_xlpm.v="","",_xlpm.v))</f>
        <v>5</v>
      </c>
      <c r="I10" s="18">
        <f>IF(_xlfn.XLOOKUP($A10, tblRisposte[ItemKey],tblRisposte[Valore],"")="Molto bene","X",0)</f>
        <v>0</v>
      </c>
      <c r="J10" s="1">
        <f t="shared" si="1"/>
        <v>0</v>
      </c>
      <c r="K10" s="2" cm="1">
        <f t="array" ref="K10">_xlfn.LET(_xlpm.v,_xlfn.XLOOKUP(G10,tblValutazioni[TipoValutazione],tblValutazioni[BE],""),IF(_xlpm.v="","",_xlpm.v))</f>
        <v>4</v>
      </c>
      <c r="L10" s="18">
        <f>IF(_xlfn.XLOOKUP($A10, tblRisposte[ItemKey], tblRisposte[Valore], "")="Bene","X",0)</f>
        <v>0</v>
      </c>
      <c r="M10" s="1">
        <f t="shared" si="2"/>
        <v>0</v>
      </c>
      <c r="N10" s="2" cm="1">
        <f t="array" ref="N10">_xlfn.LET(_xlpm.v,_xlfn.XLOOKUP(G10,tblValutazioni[TipoValutazione],tblValutazioni[SU],""),IF(_xlpm.v="","",_xlpm.v))</f>
        <v>2</v>
      </c>
      <c r="O10" s="18">
        <f>IF(_xlfn.XLOOKUP($A10, tblRisposte[ItemKey], tblRisposte[Valore], "")="Soddisfacente","X",0)</f>
        <v>0</v>
      </c>
      <c r="P10" s="1">
        <f t="shared" si="3"/>
        <v>0</v>
      </c>
      <c r="Q10" s="2" cm="1">
        <f t="array" ref="Q10">_xlfn.LET(_xlpm.v,_xlfn.XLOOKUP(G10,tblValutazioni[TipoValutazione],tblValutazioni[IN],""),IF(_xlpm.v="","",_xlpm.v))</f>
        <v>1</v>
      </c>
      <c r="R10" s="18">
        <f>IF(_xlfn.XLOOKUP($A10, tblRisposte[ItemKey], tblRisposte[Valore], "")="Insufficiente","X",0)</f>
        <v>0</v>
      </c>
      <c r="S10" s="1">
        <f t="shared" si="4"/>
        <v>0</v>
      </c>
      <c r="T10" s="2" cm="1">
        <f t="array" ref="T10">_xlfn.LET(_xlpm.v,_xlfn.XLOOKUP(G10,tblValutazioni[TipoValutazione],tblValutazioni[NE],""),IF(_xlpm.v="","",_xlpm.v))</f>
        <v>0</v>
      </c>
      <c r="U10" s="18">
        <f>IF(_xlfn.XLOOKUP($A10, tblRisposte[ItemKey], tblRisposte[Valore], "")="Non eseguito","X",0)</f>
        <v>0</v>
      </c>
      <c r="V10" s="1">
        <f t="shared" si="5"/>
        <v>0</v>
      </c>
      <c r="W10">
        <f t="shared" si="6"/>
        <v>0</v>
      </c>
      <c r="X10" t="str">
        <f>IF(COUNTIF(I10:U10,"X")=1,"OK","errore")</f>
        <v>errore</v>
      </c>
      <c r="Y10" t="str">
        <f>IF(B10="SEP",IF(I10="x",H10,IF(L10="X",K10,IF(O10="x",N10,IF(R10="X",Q10,IF(U10="X",T10,""))))),"")</f>
        <v/>
      </c>
    </row>
    <row r="11" spans="1:31" ht="15" customHeight="1">
      <c r="A11" t="str">
        <f>IF(G11&lt;&gt;"",ScenaAttiva&amp;"_"&amp;AB$4&amp;TEXT(COUNTIF($G$3:G11,"&lt;&gt;"),"0000"),"")</f>
        <v>A_PBL0008</v>
      </c>
      <c r="B11">
        <f>IF(A11&lt;&gt;"",SquadraAttiva,"")</f>
        <v>3</v>
      </c>
      <c r="C11" t="str">
        <f t="shared" si="0"/>
        <v>3-A_PBL0008</v>
      </c>
      <c r="D11">
        <f>IFERROR(_xlfn.XLOOKUP(C11,tblRisposte[idValutazione],tblRisposte[Valore],""),"")</f>
        <v>2</v>
      </c>
      <c r="F11" s="82" t="s">
        <v>134</v>
      </c>
      <c r="G11" t="s">
        <v>35</v>
      </c>
      <c r="H11" cm="1">
        <f t="array" ref="H11">_xlfn.LET(_xlpm.v,_xlfn.XLOOKUP(G11,tblValutazioni[TipoValutazione],tblValutazioni[MB],""),IF(_xlpm.v="","",_xlpm.v))</f>
        <v>5</v>
      </c>
      <c r="I11" s="18">
        <f>IF(_xlfn.XLOOKUP($A11, tblRisposte[ItemKey],tblRisposte[Valore],"")="Molto bene","X",0)</f>
        <v>0</v>
      </c>
      <c r="J11" s="1">
        <f t="shared" si="1"/>
        <v>0</v>
      </c>
      <c r="K11" s="2" cm="1">
        <f t="array" ref="K11">_xlfn.LET(_xlpm.v,_xlfn.XLOOKUP(G11,tblValutazioni[TipoValutazione],tblValutazioni[BE],""),IF(_xlpm.v="","",_xlpm.v))</f>
        <v>4</v>
      </c>
      <c r="L11" s="18">
        <f>IF(_xlfn.XLOOKUP($A11, tblRisposte[ItemKey], tblRisposte[Valore], "")="Bene","X",0)</f>
        <v>0</v>
      </c>
      <c r="M11" s="1">
        <f t="shared" si="2"/>
        <v>0</v>
      </c>
      <c r="N11" s="2" cm="1">
        <f t="array" ref="N11">_xlfn.LET(_xlpm.v,_xlfn.XLOOKUP(G11,tblValutazioni[TipoValutazione],tblValutazioni[SU],""),IF(_xlpm.v="","",_xlpm.v))</f>
        <v>2</v>
      </c>
      <c r="O11" s="18">
        <f>IF(_xlfn.XLOOKUP($A11, tblRisposte[ItemKey], tblRisposte[Valore], "")="Soddisfacente","X",0)</f>
        <v>0</v>
      </c>
      <c r="P11" s="1">
        <f t="shared" si="3"/>
        <v>0</v>
      </c>
      <c r="Q11" s="2" cm="1">
        <f t="array" ref="Q11">_xlfn.LET(_xlpm.v,_xlfn.XLOOKUP(G11,tblValutazioni[TipoValutazione],tblValutazioni[IN],""),IF(_xlpm.v="","",_xlpm.v))</f>
        <v>1</v>
      </c>
      <c r="R11" s="18">
        <f>IF(_xlfn.XLOOKUP($A11, tblRisposte[ItemKey], tblRisposte[Valore], "")="Insufficiente","X",0)</f>
        <v>0</v>
      </c>
      <c r="S11" s="1">
        <f t="shared" si="4"/>
        <v>0</v>
      </c>
      <c r="T11" s="2" cm="1">
        <f t="array" ref="T11">_xlfn.LET(_xlpm.v,_xlfn.XLOOKUP(G11,tblValutazioni[TipoValutazione],tblValutazioni[NE],""),IF(_xlpm.v="","",_xlpm.v))</f>
        <v>0</v>
      </c>
      <c r="U11" s="18">
        <f>IF(_xlfn.XLOOKUP($A11, tblRisposte[ItemKey], tblRisposte[Valore], "")="Non eseguito","X",0)</f>
        <v>0</v>
      </c>
      <c r="V11" s="1">
        <f t="shared" si="5"/>
        <v>0</v>
      </c>
      <c r="W11">
        <f t="shared" si="6"/>
        <v>0</v>
      </c>
      <c r="X11" t="str">
        <f>IF(COUNTIF(I11:U11,"X")=1,"OK","errore")</f>
        <v>errore</v>
      </c>
      <c r="Y11" t="str">
        <f>IF(B11="SEP",IF(I11="x",H11,IF(L11="X",K11,IF(O11="x",N11,IF(R11="X",Q11,IF(U11="X",T11,""))))),"")</f>
        <v/>
      </c>
      <c r="Z11" t="s">
        <v>718</v>
      </c>
      <c r="AA11">
        <f>SUM(H2:H37)</f>
        <v>109</v>
      </c>
    </row>
    <row r="12" spans="1:31" ht="15" customHeight="1">
      <c r="A12" t="str">
        <f>IF(G12&lt;&gt;"",ScenaAttiva&amp;"_"&amp;AB$4&amp;TEXT(COUNTIF($G$3:G12,"&lt;&gt;"),"0000"),"")</f>
        <v>A_PBL0009</v>
      </c>
      <c r="B12">
        <f>IF(A12&lt;&gt;"",SquadraAttiva,"")</f>
        <v>3</v>
      </c>
      <c r="C12" t="str">
        <f t="shared" si="0"/>
        <v>3-A_PBL0009</v>
      </c>
      <c r="D12">
        <f>IFERROR(_xlfn.XLOOKUP(C12,tblRisposte[idValutazione],tblRisposte[Valore],""),"")</f>
        <v>4</v>
      </c>
      <c r="F12" s="78" t="s">
        <v>136</v>
      </c>
      <c r="G12" t="s">
        <v>35</v>
      </c>
      <c r="H12" cm="1">
        <f t="array" ref="H12">_xlfn.LET(_xlpm.v,_xlfn.XLOOKUP(G12,tblValutazioni[TipoValutazione],tblValutazioni[MB],""),IF(_xlpm.v="","",_xlpm.v))</f>
        <v>5</v>
      </c>
      <c r="I12" s="18">
        <f>IF(_xlfn.XLOOKUP($A12, tblRisposte[ItemKey],tblRisposte[Valore],"")="Molto bene","X",0)</f>
        <v>0</v>
      </c>
      <c r="J12" s="1">
        <f t="shared" si="1"/>
        <v>0</v>
      </c>
      <c r="K12" s="2" cm="1">
        <f t="array" ref="K12">_xlfn.LET(_xlpm.v,_xlfn.XLOOKUP(G12,tblValutazioni[TipoValutazione],tblValutazioni[BE],""),IF(_xlpm.v="","",_xlpm.v))</f>
        <v>4</v>
      </c>
      <c r="L12" s="18">
        <f>IF(_xlfn.XLOOKUP($A12, tblRisposte[ItemKey], tblRisposte[Valore], "")="Bene","X",0)</f>
        <v>0</v>
      </c>
      <c r="M12" s="1">
        <f t="shared" si="2"/>
        <v>0</v>
      </c>
      <c r="N12" s="2" cm="1">
        <f t="array" ref="N12">_xlfn.LET(_xlpm.v,_xlfn.XLOOKUP(G12,tblValutazioni[TipoValutazione],tblValutazioni[SU],""),IF(_xlpm.v="","",_xlpm.v))</f>
        <v>2</v>
      </c>
      <c r="O12" s="18">
        <f>IF(_xlfn.XLOOKUP($A12, tblRisposte[ItemKey], tblRisposte[Valore], "")="Soddisfacente","X",0)</f>
        <v>0</v>
      </c>
      <c r="P12" s="1">
        <f t="shared" si="3"/>
        <v>0</v>
      </c>
      <c r="Q12" s="2" cm="1">
        <f t="array" ref="Q12">_xlfn.LET(_xlpm.v,_xlfn.XLOOKUP(G12,tblValutazioni[TipoValutazione],tblValutazioni[IN],""),IF(_xlpm.v="","",_xlpm.v))</f>
        <v>1</v>
      </c>
      <c r="R12" s="18">
        <f>IF(_xlfn.XLOOKUP($A12, tblRisposte[ItemKey], tblRisposte[Valore], "")="Insufficiente","X",0)</f>
        <v>0</v>
      </c>
      <c r="S12" s="1">
        <f t="shared" si="4"/>
        <v>0</v>
      </c>
      <c r="T12" s="2" cm="1">
        <f t="array" ref="T12">_xlfn.LET(_xlpm.v,_xlfn.XLOOKUP(G12,tblValutazioni[TipoValutazione],tblValutazioni[NE],""),IF(_xlpm.v="","",_xlpm.v))</f>
        <v>0</v>
      </c>
      <c r="U12" s="18">
        <f>IF(_xlfn.XLOOKUP($A12, tblRisposte[ItemKey], tblRisposte[Valore], "")="Non eseguito","X",0)</f>
        <v>0</v>
      </c>
      <c r="V12" s="1">
        <f t="shared" si="5"/>
        <v>0</v>
      </c>
      <c r="W12">
        <f t="shared" si="6"/>
        <v>0</v>
      </c>
      <c r="X12" t="str">
        <f>IF(COUNTIF(I12:U12,"X")=1,"OK","errore")</f>
        <v>errore</v>
      </c>
      <c r="Y12" t="str">
        <f>IF(B12="SEP",IF(I12="x",H12,IF(L12="X",K12,IF(O12="x",N12,IF(R12="X",Q12,IF(U12="X",T12,""))))),"")</f>
        <v/>
      </c>
      <c r="Z12" t="s">
        <v>719</v>
      </c>
      <c r="AA12" s="13">
        <f>J42/AA11</f>
        <v>0</v>
      </c>
    </row>
    <row r="13" spans="1:31" ht="15" customHeight="1">
      <c r="A13" t="str">
        <f>IF(G13&lt;&gt;"",ScenaAttiva&amp;"_"&amp;AB$4&amp;TEXT(COUNTIF($G$3:G13,"&lt;&gt;"),"0000"),"")</f>
        <v>A_PBL0010</v>
      </c>
      <c r="B13">
        <f>IF(A13&lt;&gt;"",SquadraAttiva,"")</f>
        <v>3</v>
      </c>
      <c r="C13" t="str">
        <f t="shared" si="0"/>
        <v>3-A_PBL0010</v>
      </c>
      <c r="D13">
        <f>IFERROR(_xlfn.XLOOKUP(C13,tblRisposte[idValutazione],tblRisposte[Valore],""),"")</f>
        <v>4</v>
      </c>
      <c r="F13" s="78" t="s">
        <v>138</v>
      </c>
      <c r="G13" t="s">
        <v>35</v>
      </c>
      <c r="H13" cm="1">
        <f t="array" ref="H13">_xlfn.LET(_xlpm.v,_xlfn.XLOOKUP(G13,tblValutazioni[TipoValutazione],tblValutazioni[MB],""),IF(_xlpm.v="","",_xlpm.v))</f>
        <v>5</v>
      </c>
      <c r="I13" s="18">
        <f>IF(_xlfn.XLOOKUP($A13, tblRisposte[ItemKey],tblRisposte[Valore],"")="Molto bene","X",0)</f>
        <v>0</v>
      </c>
      <c r="J13" s="1">
        <f t="shared" si="1"/>
        <v>0</v>
      </c>
      <c r="K13" s="2" cm="1">
        <f t="array" ref="K13">_xlfn.LET(_xlpm.v,_xlfn.XLOOKUP(G13,tblValutazioni[TipoValutazione],tblValutazioni[BE],""),IF(_xlpm.v="","",_xlpm.v))</f>
        <v>4</v>
      </c>
      <c r="L13" s="18">
        <f>IF(_xlfn.XLOOKUP($A13, tblRisposte[ItemKey], tblRisposte[Valore], "")="Bene","X",0)</f>
        <v>0</v>
      </c>
      <c r="M13" s="1">
        <f t="shared" si="2"/>
        <v>0</v>
      </c>
      <c r="N13" s="2" cm="1">
        <f t="array" ref="N13">_xlfn.LET(_xlpm.v,_xlfn.XLOOKUP(G13,tblValutazioni[TipoValutazione],tblValutazioni[SU],""),IF(_xlpm.v="","",_xlpm.v))</f>
        <v>2</v>
      </c>
      <c r="O13" s="18">
        <f>IF(_xlfn.XLOOKUP($A13, tblRisposte[ItemKey], tblRisposte[Valore], "")="Soddisfacente","X",0)</f>
        <v>0</v>
      </c>
      <c r="P13" s="1">
        <f t="shared" si="3"/>
        <v>0</v>
      </c>
      <c r="Q13" s="2" cm="1">
        <f t="array" ref="Q13">_xlfn.LET(_xlpm.v,_xlfn.XLOOKUP(G13,tblValutazioni[TipoValutazione],tblValutazioni[IN],""),IF(_xlpm.v="","",_xlpm.v))</f>
        <v>1</v>
      </c>
      <c r="R13" s="18">
        <f>IF(_xlfn.XLOOKUP($A13, tblRisposte[ItemKey], tblRisposte[Valore], "")="Insufficiente","X",0)</f>
        <v>0</v>
      </c>
      <c r="S13" s="1">
        <f t="shared" si="4"/>
        <v>0</v>
      </c>
      <c r="T13" s="2" cm="1">
        <f t="array" ref="T13">_xlfn.LET(_xlpm.v,_xlfn.XLOOKUP(G13,tblValutazioni[TipoValutazione],tblValutazioni[NE],""),IF(_xlpm.v="","",_xlpm.v))</f>
        <v>0</v>
      </c>
      <c r="U13" s="18">
        <f>IF(_xlfn.XLOOKUP($A13, tblRisposte[ItemKey], tblRisposte[Valore], "")="Non eseguito","X",0)</f>
        <v>0</v>
      </c>
      <c r="V13" s="1">
        <f t="shared" si="5"/>
        <v>0</v>
      </c>
      <c r="W13">
        <f t="shared" si="6"/>
        <v>0</v>
      </c>
      <c r="X13" t="str">
        <f>IF(COUNTIF(I13:U13,"X")=1,"OK","errore")</f>
        <v>errore</v>
      </c>
      <c r="Y13" t="str">
        <f>IF(B13="SEP",IF(I13="x",H13,IF(L13="X",K13,IF(O13="x",N13,IF(R13="X",Q13,IF(U13="X",T13,""))))),"")</f>
        <v/>
      </c>
    </row>
    <row r="14" spans="1:31" ht="15" customHeight="1">
      <c r="A14" t="str">
        <f>IF(G14&lt;&gt;"",ScenaAttiva&amp;"_"&amp;AB$4&amp;TEXT(COUNTIF($G$3:G14,"&lt;&gt;"),"0000"),"")</f>
        <v>A_PBL0011</v>
      </c>
      <c r="B14">
        <f>IF(A14&lt;&gt;"",SquadraAttiva,"")</f>
        <v>3</v>
      </c>
      <c r="C14" t="str">
        <f t="shared" si="0"/>
        <v>3-A_PBL0011</v>
      </c>
      <c r="D14">
        <f>IFERROR(_xlfn.XLOOKUP(C14,tblRisposte[idValutazione],tblRisposte[Valore],""),"")</f>
        <v>0</v>
      </c>
      <c r="F14" s="78" t="s">
        <v>140</v>
      </c>
      <c r="G14" t="s">
        <v>35</v>
      </c>
      <c r="H14" cm="1">
        <f t="array" ref="H14">_xlfn.LET(_xlpm.v,_xlfn.XLOOKUP(G14,tblValutazioni[TipoValutazione],tblValutazioni[MB],""),IF(_xlpm.v="","",_xlpm.v))</f>
        <v>5</v>
      </c>
      <c r="I14" s="18">
        <f>IF(_xlfn.XLOOKUP($A14, tblRisposte[ItemKey],tblRisposte[Valore],"")="Molto bene","X",0)</f>
        <v>0</v>
      </c>
      <c r="J14" s="1">
        <f t="shared" si="1"/>
        <v>0</v>
      </c>
      <c r="K14" s="2" cm="1">
        <f t="array" ref="K14">_xlfn.LET(_xlpm.v,_xlfn.XLOOKUP(G14,tblValutazioni[TipoValutazione],tblValutazioni[BE],""),IF(_xlpm.v="","",_xlpm.v))</f>
        <v>4</v>
      </c>
      <c r="L14" s="18">
        <f>IF(_xlfn.XLOOKUP($A14, tblRisposte[ItemKey], tblRisposte[Valore], "")="Bene","X",0)</f>
        <v>0</v>
      </c>
      <c r="M14" s="1">
        <f t="shared" si="2"/>
        <v>0</v>
      </c>
      <c r="N14" s="2" cm="1">
        <f t="array" ref="N14">_xlfn.LET(_xlpm.v,_xlfn.XLOOKUP(G14,tblValutazioni[TipoValutazione],tblValutazioni[SU],""),IF(_xlpm.v="","",_xlpm.v))</f>
        <v>2</v>
      </c>
      <c r="O14" s="18">
        <f>IF(_xlfn.XLOOKUP($A14, tblRisposte[ItemKey], tblRisposte[Valore], "")="Soddisfacente","X",0)</f>
        <v>0</v>
      </c>
      <c r="P14" s="1">
        <f t="shared" si="3"/>
        <v>0</v>
      </c>
      <c r="Q14" s="2" cm="1">
        <f t="array" ref="Q14">_xlfn.LET(_xlpm.v,_xlfn.XLOOKUP(G14,tblValutazioni[TipoValutazione],tblValutazioni[IN],""),IF(_xlpm.v="","",_xlpm.v))</f>
        <v>1</v>
      </c>
      <c r="R14" s="18">
        <f>IF(_xlfn.XLOOKUP($A14, tblRisposte[ItemKey], tblRisposte[Valore], "")="Insufficiente","X",0)</f>
        <v>0</v>
      </c>
      <c r="S14" s="1">
        <f t="shared" si="4"/>
        <v>0</v>
      </c>
      <c r="T14" s="2" cm="1">
        <f t="array" ref="T14">_xlfn.LET(_xlpm.v,_xlfn.XLOOKUP(G14,tblValutazioni[TipoValutazione],tblValutazioni[NE],""),IF(_xlpm.v="","",_xlpm.v))</f>
        <v>0</v>
      </c>
      <c r="U14" s="18">
        <f>IF(_xlfn.XLOOKUP($A14, tblRisposte[ItemKey], tblRisposte[Valore], "")="Non eseguito","X",0)</f>
        <v>0</v>
      </c>
      <c r="V14" s="1">
        <f t="shared" si="5"/>
        <v>0</v>
      </c>
      <c r="W14">
        <f t="shared" si="6"/>
        <v>0</v>
      </c>
      <c r="X14" t="str">
        <f>IF(COUNTIF(I14:U14,"X")=1,"OK","errore")</f>
        <v>errore</v>
      </c>
      <c r="Y14" t="str">
        <f>IF(B14="SEP",IF(I14="x",H14,IF(L14="X",K14,IF(O14="x",N14,IF(R14="X",Q14,IF(U14="X",T14,""))))),"")</f>
        <v/>
      </c>
      <c r="Z14" t="s">
        <v>720</v>
      </c>
      <c r="AA14">
        <f>SUMIF(B2:B40,"SEP",H2:H40)</f>
        <v>0</v>
      </c>
    </row>
    <row r="15" spans="1:31" ht="15" customHeight="1">
      <c r="A15" t="str">
        <f>IF(G15&lt;&gt;"",ScenaAttiva&amp;"_"&amp;AB$4&amp;TEXT(COUNTIF($G$3:G15,"&lt;&gt;"),"0000"),"")</f>
        <v>A_PBL0012</v>
      </c>
      <c r="B15">
        <f>IF(A15&lt;&gt;"",SquadraAttiva,"")</f>
        <v>3</v>
      </c>
      <c r="C15" t="str">
        <f t="shared" si="0"/>
        <v>3-A_PBL0012</v>
      </c>
      <c r="D15">
        <f>IFERROR(_xlfn.XLOOKUP(C15,tblRisposte[idValutazione],tblRisposte[Valore],""),"")</f>
        <v>2</v>
      </c>
      <c r="F15" s="78" t="s">
        <v>142</v>
      </c>
      <c r="G15" t="s">
        <v>35</v>
      </c>
      <c r="H15" cm="1">
        <f t="array" ref="H15">_xlfn.LET(_xlpm.v,_xlfn.XLOOKUP(G15,tblValutazioni[TipoValutazione],tblValutazioni[MB],""),IF(_xlpm.v="","",_xlpm.v))</f>
        <v>5</v>
      </c>
      <c r="I15" s="18">
        <f>IF(_xlfn.XLOOKUP($A15, tblRisposte[ItemKey],tblRisposte[Valore],"")="Molto bene","X",0)</f>
        <v>0</v>
      </c>
      <c r="J15" s="1">
        <f t="shared" si="1"/>
        <v>0</v>
      </c>
      <c r="K15" s="2" cm="1">
        <f t="array" ref="K15">_xlfn.LET(_xlpm.v,_xlfn.XLOOKUP(G15,tblValutazioni[TipoValutazione],tblValutazioni[BE],""),IF(_xlpm.v="","",_xlpm.v))</f>
        <v>4</v>
      </c>
      <c r="L15" s="18">
        <f>IF(_xlfn.XLOOKUP($A15, tblRisposte[ItemKey], tblRisposte[Valore], "")="Bene","X",0)</f>
        <v>0</v>
      </c>
      <c r="M15" s="1">
        <f t="shared" si="2"/>
        <v>0</v>
      </c>
      <c r="N15" s="2" cm="1">
        <f t="array" ref="N15">_xlfn.LET(_xlpm.v,_xlfn.XLOOKUP(G15,tblValutazioni[TipoValutazione],tblValutazioni[SU],""),IF(_xlpm.v="","",_xlpm.v))</f>
        <v>2</v>
      </c>
      <c r="O15" s="18">
        <f>IF(_xlfn.XLOOKUP($A15, tblRisposte[ItemKey], tblRisposte[Valore], "")="Soddisfacente","X",0)</f>
        <v>0</v>
      </c>
      <c r="P15" s="1">
        <f t="shared" si="3"/>
        <v>0</v>
      </c>
      <c r="Q15" s="2" cm="1">
        <f t="array" ref="Q15">_xlfn.LET(_xlpm.v,_xlfn.XLOOKUP(G15,tblValutazioni[TipoValutazione],tblValutazioni[IN],""),IF(_xlpm.v="","",_xlpm.v))</f>
        <v>1</v>
      </c>
      <c r="R15" s="18">
        <f>IF(_xlfn.XLOOKUP($A15, tblRisposte[ItemKey], tblRisposte[Valore], "")="Insufficiente","X",0)</f>
        <v>0</v>
      </c>
      <c r="S15" s="1">
        <f t="shared" si="4"/>
        <v>0</v>
      </c>
      <c r="T15" s="2" cm="1">
        <f t="array" ref="T15">_xlfn.LET(_xlpm.v,_xlfn.XLOOKUP(G15,tblValutazioni[TipoValutazione],tblValutazioni[NE],""),IF(_xlpm.v="","",_xlpm.v))</f>
        <v>0</v>
      </c>
      <c r="U15" s="18">
        <f>IF(_xlfn.XLOOKUP($A15, tblRisposte[ItemKey], tblRisposte[Valore], "")="Non eseguito","X",0)</f>
        <v>0</v>
      </c>
      <c r="V15" s="1">
        <f t="shared" si="5"/>
        <v>0</v>
      </c>
      <c r="W15">
        <f t="shared" si="6"/>
        <v>0</v>
      </c>
      <c r="X15" t="str">
        <f>IF(COUNTIF(I15:U15,"X")=1,"OK","errore")</f>
        <v>errore</v>
      </c>
      <c r="Y15" t="str">
        <f>IF(B15="SEP",IF(I15="x",H15,IF(L15="X",K15,IF(O15="x",N15,IF(R15="X",Q15,IF(U15="X",T15,""))))),"")</f>
        <v/>
      </c>
    </row>
    <row r="16" spans="1:31" ht="15" customHeight="1">
      <c r="A16" t="str">
        <f>IF(G16&lt;&gt;"",ScenaAttiva&amp;"_"&amp;AB$4&amp;TEXT(COUNTIF($G$3:G16,"&lt;&gt;"),"0000"),"")</f>
        <v>A_PBL0013</v>
      </c>
      <c r="B16">
        <f>IF(A16&lt;&gt;"",SquadraAttiva,"")</f>
        <v>3</v>
      </c>
      <c r="C16" t="str">
        <f t="shared" si="0"/>
        <v>3-A_PBL0013</v>
      </c>
      <c r="D16">
        <f>IFERROR(_xlfn.XLOOKUP(C16,tblRisposte[idValutazione],tblRisposte[Valore],""),"")</f>
        <v>1</v>
      </c>
      <c r="F16" s="78" t="s">
        <v>144</v>
      </c>
      <c r="G16" t="s">
        <v>35</v>
      </c>
      <c r="H16" cm="1">
        <f t="array" ref="H16">_xlfn.LET(_xlpm.v,_xlfn.XLOOKUP(G16,tblValutazioni[TipoValutazione],tblValutazioni[MB],""),IF(_xlpm.v="","",_xlpm.v))</f>
        <v>5</v>
      </c>
      <c r="I16" s="18">
        <f>IF(_xlfn.XLOOKUP($A16, tblRisposte[ItemKey],tblRisposte[Valore],"")="Molto bene","X",0)</f>
        <v>0</v>
      </c>
      <c r="J16" s="1">
        <f t="shared" si="1"/>
        <v>0</v>
      </c>
      <c r="K16" s="2" cm="1">
        <f t="array" ref="K16">_xlfn.LET(_xlpm.v,_xlfn.XLOOKUP(G16,tblValutazioni[TipoValutazione],tblValutazioni[BE],""),IF(_xlpm.v="","",_xlpm.v))</f>
        <v>4</v>
      </c>
      <c r="L16" s="18">
        <f>IF(_xlfn.XLOOKUP($A16, tblRisposte[ItemKey], tblRisposte[Valore], "")="Bene","X",0)</f>
        <v>0</v>
      </c>
      <c r="M16" s="1">
        <f t="shared" si="2"/>
        <v>0</v>
      </c>
      <c r="N16" s="2" cm="1">
        <f t="array" ref="N16">_xlfn.LET(_xlpm.v,_xlfn.XLOOKUP(G16,tblValutazioni[TipoValutazione],tblValutazioni[SU],""),IF(_xlpm.v="","",_xlpm.v))</f>
        <v>2</v>
      </c>
      <c r="O16" s="18">
        <f>IF(_xlfn.XLOOKUP($A16, tblRisposte[ItemKey], tblRisposte[Valore], "")="Soddisfacente","X",0)</f>
        <v>0</v>
      </c>
      <c r="P16" s="1">
        <f t="shared" si="3"/>
        <v>0</v>
      </c>
      <c r="Q16" s="2" cm="1">
        <f t="array" ref="Q16">_xlfn.LET(_xlpm.v,_xlfn.XLOOKUP(G16,tblValutazioni[TipoValutazione],tblValutazioni[IN],""),IF(_xlpm.v="","",_xlpm.v))</f>
        <v>1</v>
      </c>
      <c r="R16" s="18">
        <f>IF(_xlfn.XLOOKUP($A16, tblRisposte[ItemKey], tblRisposte[Valore], "")="Insufficiente","X",0)</f>
        <v>0</v>
      </c>
      <c r="S16" s="1">
        <f t="shared" si="4"/>
        <v>0</v>
      </c>
      <c r="T16" s="2" cm="1">
        <f t="array" ref="T16">_xlfn.LET(_xlpm.v,_xlfn.XLOOKUP(G16,tblValutazioni[TipoValutazione],tblValutazioni[NE],""),IF(_xlpm.v="","",_xlpm.v))</f>
        <v>0</v>
      </c>
      <c r="U16" s="18">
        <f>IF(_xlfn.XLOOKUP($A16, tblRisposte[ItemKey], tblRisposte[Valore], "")="Non eseguito","X",0)</f>
        <v>0</v>
      </c>
      <c r="V16" s="1">
        <f t="shared" si="5"/>
        <v>0</v>
      </c>
      <c r="W16">
        <f t="shared" si="6"/>
        <v>0</v>
      </c>
      <c r="X16" t="str">
        <f>IF(COUNTIF(I16:U16,"X")=1,"OK","errore")</f>
        <v>errore</v>
      </c>
      <c r="Y16" t="str">
        <f>IF(B16="SEP",IF(I16="x",H16,IF(L16="X",K16,IF(O16="x",N16,IF(R16="X",Q16,IF(U16="X",T16,""))))),"")</f>
        <v/>
      </c>
    </row>
    <row r="17" spans="1:26" ht="15" customHeight="1">
      <c r="A17" t="str">
        <f>IF(G17&lt;&gt;"",ScenaAttiva&amp;"_"&amp;AB$4&amp;TEXT(COUNTIF($G$3:G17,"&lt;&gt;"),"0000"),"")</f>
        <v>A_PBL0014</v>
      </c>
      <c r="B17">
        <f>IF(A17&lt;&gt;"",SquadraAttiva,"")</f>
        <v>3</v>
      </c>
      <c r="C17" t="str">
        <f t="shared" si="0"/>
        <v>3-A_PBL0014</v>
      </c>
      <c r="D17">
        <f>IFERROR(_xlfn.XLOOKUP(C17,tblRisposte[idValutazione],tblRisposte[Valore],""),"")</f>
        <v>1</v>
      </c>
      <c r="F17" s="78" t="s">
        <v>146</v>
      </c>
      <c r="G17" t="s">
        <v>35</v>
      </c>
      <c r="H17" cm="1">
        <f t="array" ref="H17">_xlfn.LET(_xlpm.v,_xlfn.XLOOKUP(G17,tblValutazioni[TipoValutazione],tblValutazioni[MB],""),IF(_xlpm.v="","",_xlpm.v))</f>
        <v>5</v>
      </c>
      <c r="I17" s="18">
        <f>IF(_xlfn.XLOOKUP($A17, tblRisposte[ItemKey],tblRisposte[Valore],"")="Molto bene","X",0)</f>
        <v>0</v>
      </c>
      <c r="J17" s="1">
        <f t="shared" si="1"/>
        <v>0</v>
      </c>
      <c r="K17" s="2" cm="1">
        <f t="array" ref="K17">_xlfn.LET(_xlpm.v,_xlfn.XLOOKUP(G17,tblValutazioni[TipoValutazione],tblValutazioni[BE],""),IF(_xlpm.v="","",_xlpm.v))</f>
        <v>4</v>
      </c>
      <c r="L17" s="18">
        <f>IF(_xlfn.XLOOKUP($A17, tblRisposte[ItemKey], tblRisposte[Valore], "")="Bene","X",0)</f>
        <v>0</v>
      </c>
      <c r="M17" s="1">
        <f t="shared" si="2"/>
        <v>0</v>
      </c>
      <c r="N17" s="2" cm="1">
        <f t="array" ref="N17">_xlfn.LET(_xlpm.v,_xlfn.XLOOKUP(G17,tblValutazioni[TipoValutazione],tblValutazioni[SU],""),IF(_xlpm.v="","",_xlpm.v))</f>
        <v>2</v>
      </c>
      <c r="O17" s="18">
        <f>IF(_xlfn.XLOOKUP($A17, tblRisposte[ItemKey], tblRisposte[Valore], "")="Soddisfacente","X",0)</f>
        <v>0</v>
      </c>
      <c r="P17" s="1">
        <f t="shared" si="3"/>
        <v>0</v>
      </c>
      <c r="Q17" s="2" cm="1">
        <f t="array" ref="Q17">_xlfn.LET(_xlpm.v,_xlfn.XLOOKUP(G17,tblValutazioni[TipoValutazione],tblValutazioni[IN],""),IF(_xlpm.v="","",_xlpm.v))</f>
        <v>1</v>
      </c>
      <c r="R17" s="18">
        <f>IF(_xlfn.XLOOKUP($A17, tblRisposte[ItemKey], tblRisposte[Valore], "")="Insufficiente","X",0)</f>
        <v>0</v>
      </c>
      <c r="S17" s="1">
        <f t="shared" si="4"/>
        <v>0</v>
      </c>
      <c r="T17" s="2" cm="1">
        <f t="array" ref="T17">_xlfn.LET(_xlpm.v,_xlfn.XLOOKUP(G17,tblValutazioni[TipoValutazione],tblValutazioni[NE],""),IF(_xlpm.v="","",_xlpm.v))</f>
        <v>0</v>
      </c>
      <c r="U17" s="18">
        <f>IF(_xlfn.XLOOKUP($A17, tblRisposte[ItemKey], tblRisposte[Valore], "")="Non eseguito","X",0)</f>
        <v>0</v>
      </c>
      <c r="V17" s="1">
        <f t="shared" si="5"/>
        <v>0</v>
      </c>
      <c r="W17">
        <f t="shared" si="6"/>
        <v>0</v>
      </c>
      <c r="X17" t="str">
        <f>IF(COUNTIF(I17:U17,"X")=1,"OK","errore")</f>
        <v>errore</v>
      </c>
      <c r="Y17" t="str">
        <f>IF(B17="SEP",IF(I17="x",H17,IF(L17="X",K17,IF(O17="x",N17,IF(R17="X",Q17,IF(U17="X",T17,""))))),"")</f>
        <v/>
      </c>
    </row>
    <row r="18" spans="1:26" ht="15" customHeight="1">
      <c r="A18" t="str">
        <f>IF(G18&lt;&gt;"",ScenaAttiva&amp;"_"&amp;AB$4&amp;TEXT(COUNTIF($G$3:G18,"&lt;&gt;"),"0000"),"")</f>
        <v>A_PBL0015</v>
      </c>
      <c r="B18">
        <f>IF(A18&lt;&gt;"",SquadraAttiva,"")</f>
        <v>3</v>
      </c>
      <c r="C18" t="str">
        <f t="shared" si="0"/>
        <v>3-A_PBL0015</v>
      </c>
      <c r="D18">
        <f>IFERROR(_xlfn.XLOOKUP(C18,tblRisposte[idValutazione],tblRisposte[Valore],""),"")</f>
        <v>1</v>
      </c>
      <c r="F18" s="78" t="s">
        <v>148</v>
      </c>
      <c r="G18" t="s">
        <v>35</v>
      </c>
      <c r="H18" cm="1">
        <f t="array" ref="H18">_xlfn.LET(_xlpm.v,_xlfn.XLOOKUP(G18,tblValutazioni[TipoValutazione],tblValutazioni[MB],""),IF(_xlpm.v="","",_xlpm.v))</f>
        <v>5</v>
      </c>
      <c r="I18" s="18">
        <f>IF(_xlfn.XLOOKUP($A18, tblRisposte[ItemKey],tblRisposte[Valore],"")="Molto bene","X",0)</f>
        <v>0</v>
      </c>
      <c r="J18" s="1">
        <f t="shared" si="1"/>
        <v>0</v>
      </c>
      <c r="K18" s="2" cm="1">
        <f t="array" ref="K18">_xlfn.LET(_xlpm.v,_xlfn.XLOOKUP(G18,tblValutazioni[TipoValutazione],tblValutazioni[BE],""),IF(_xlpm.v="","",_xlpm.v))</f>
        <v>4</v>
      </c>
      <c r="L18" s="18">
        <f>IF(_xlfn.XLOOKUP($A18, tblRisposte[ItemKey], tblRisposte[Valore], "")="Bene","X",0)</f>
        <v>0</v>
      </c>
      <c r="M18" s="1">
        <f t="shared" si="2"/>
        <v>0</v>
      </c>
      <c r="N18" s="2" cm="1">
        <f t="array" ref="N18">_xlfn.LET(_xlpm.v,_xlfn.XLOOKUP(G18,tblValutazioni[TipoValutazione],tblValutazioni[SU],""),IF(_xlpm.v="","",_xlpm.v))</f>
        <v>2</v>
      </c>
      <c r="O18" s="18">
        <f>IF(_xlfn.XLOOKUP($A18, tblRisposte[ItemKey], tblRisposte[Valore], "")="Soddisfacente","X",0)</f>
        <v>0</v>
      </c>
      <c r="P18" s="1">
        <f t="shared" si="3"/>
        <v>0</v>
      </c>
      <c r="Q18" s="2" cm="1">
        <f t="array" ref="Q18">_xlfn.LET(_xlpm.v,_xlfn.XLOOKUP(G18,tblValutazioni[TipoValutazione],tblValutazioni[IN],""),IF(_xlpm.v="","",_xlpm.v))</f>
        <v>1</v>
      </c>
      <c r="R18" s="18">
        <f>IF(_xlfn.XLOOKUP($A18, tblRisposte[ItemKey], tblRisposte[Valore], "")="Insufficiente","X",0)</f>
        <v>0</v>
      </c>
      <c r="S18" s="1">
        <f t="shared" si="4"/>
        <v>0</v>
      </c>
      <c r="T18" s="2" cm="1">
        <f t="array" ref="T18">_xlfn.LET(_xlpm.v,_xlfn.XLOOKUP(G18,tblValutazioni[TipoValutazione],tblValutazioni[NE],""),IF(_xlpm.v="","",_xlpm.v))</f>
        <v>0</v>
      </c>
      <c r="U18" s="18">
        <f>IF(_xlfn.XLOOKUP($A18, tblRisposte[ItemKey], tblRisposte[Valore], "")="Non eseguito","X",0)</f>
        <v>0</v>
      </c>
      <c r="V18" s="1">
        <f t="shared" si="5"/>
        <v>0</v>
      </c>
      <c r="W18">
        <f t="shared" si="6"/>
        <v>0</v>
      </c>
      <c r="X18" t="str">
        <f>IF(COUNTIF(I18:U18,"X")=1,"OK","errore")</f>
        <v>errore</v>
      </c>
      <c r="Y18" t="str">
        <f>IF(B18="SEP",IF(I18="x",H18,IF(L18="X",K18,IF(O18="x",N18,IF(R18="X",Q18,IF(U18="X",T18,""))))),"")</f>
        <v/>
      </c>
    </row>
    <row r="19" spans="1:26" ht="15" customHeight="1">
      <c r="A19" t="str">
        <f>IF(G19&lt;&gt;"",ScenaAttiva&amp;"_"&amp;AB$4&amp;TEXT(COUNTIF($G$3:G19,"&lt;&gt;"),"0000"),"")</f>
        <v>A_PBL0016</v>
      </c>
      <c r="B19">
        <f>IF(A19&lt;&gt;"",SquadraAttiva,"")</f>
        <v>3</v>
      </c>
      <c r="C19" t="str">
        <f t="shared" si="0"/>
        <v>3-A_PBL0016</v>
      </c>
      <c r="D19">
        <f>IFERROR(_xlfn.XLOOKUP(C19,tblRisposte[idValutazione],tblRisposte[Valore],""),"")</f>
        <v>2</v>
      </c>
      <c r="F19" s="78" t="s">
        <v>150</v>
      </c>
      <c r="G19" t="s">
        <v>35</v>
      </c>
      <c r="H19" cm="1">
        <f t="array" ref="H19">_xlfn.LET(_xlpm.v,_xlfn.XLOOKUP(G19,tblValutazioni[TipoValutazione],tblValutazioni[MB],""),IF(_xlpm.v="","",_xlpm.v))</f>
        <v>5</v>
      </c>
      <c r="I19" s="18">
        <f>IF(_xlfn.XLOOKUP($A19, tblRisposte[ItemKey],tblRisposte[Valore],"")="Molto bene","X",0)</f>
        <v>0</v>
      </c>
      <c r="J19" s="1">
        <f t="shared" si="1"/>
        <v>0</v>
      </c>
      <c r="K19" s="2" cm="1">
        <f t="array" ref="K19">_xlfn.LET(_xlpm.v,_xlfn.XLOOKUP(G19,tblValutazioni[TipoValutazione],tblValutazioni[BE],""),IF(_xlpm.v="","",_xlpm.v))</f>
        <v>4</v>
      </c>
      <c r="L19" s="18">
        <f>IF(_xlfn.XLOOKUP($A19, tblRisposte[ItemKey], tblRisposte[Valore], "")="Bene","X",0)</f>
        <v>0</v>
      </c>
      <c r="M19" s="1">
        <f t="shared" si="2"/>
        <v>0</v>
      </c>
      <c r="N19" s="2" cm="1">
        <f t="array" ref="N19">_xlfn.LET(_xlpm.v,_xlfn.XLOOKUP(G19,tblValutazioni[TipoValutazione],tblValutazioni[SU],""),IF(_xlpm.v="","",_xlpm.v))</f>
        <v>2</v>
      </c>
      <c r="O19" s="18">
        <f>IF(_xlfn.XLOOKUP($A19, tblRisposte[ItemKey], tblRisposte[Valore], "")="Soddisfacente","X",0)</f>
        <v>0</v>
      </c>
      <c r="P19" s="1">
        <f t="shared" si="3"/>
        <v>0</v>
      </c>
      <c r="Q19" s="2" cm="1">
        <f t="array" ref="Q19">_xlfn.LET(_xlpm.v,_xlfn.XLOOKUP(G19,tblValutazioni[TipoValutazione],tblValutazioni[IN],""),IF(_xlpm.v="","",_xlpm.v))</f>
        <v>1</v>
      </c>
      <c r="R19" s="18">
        <f>IF(_xlfn.XLOOKUP($A19, tblRisposte[ItemKey], tblRisposte[Valore], "")="Insufficiente","X",0)</f>
        <v>0</v>
      </c>
      <c r="S19" s="1">
        <f t="shared" si="4"/>
        <v>0</v>
      </c>
      <c r="T19" s="2" cm="1">
        <f t="array" ref="T19">_xlfn.LET(_xlpm.v,_xlfn.XLOOKUP(G19,tblValutazioni[TipoValutazione],tblValutazioni[NE],""),IF(_xlpm.v="","",_xlpm.v))</f>
        <v>0</v>
      </c>
      <c r="U19" s="18">
        <f>IF(_xlfn.XLOOKUP($A19, tblRisposte[ItemKey], tblRisposte[Valore], "")="Non eseguito","X",0)</f>
        <v>0</v>
      </c>
      <c r="V19" s="1">
        <f t="shared" si="5"/>
        <v>0</v>
      </c>
      <c r="W19">
        <f t="shared" si="6"/>
        <v>0</v>
      </c>
      <c r="X19" t="str">
        <f>IF(COUNTIF(I19:U19,"X")=1,"OK","errore")</f>
        <v>errore</v>
      </c>
      <c r="Y19" t="str">
        <f>IF(B19="SEP",IF(I19="x",H19,IF(L19="X",K19,IF(O19="x",N19,IF(R19="X",Q19,IF(U19="X",T19,""))))),"")</f>
        <v/>
      </c>
    </row>
    <row r="20" spans="1:26" ht="15" customHeight="1">
      <c r="A20" t="str">
        <f>IF(G20&lt;&gt;"",ScenaAttiva&amp;"_"&amp;AB$4&amp;TEXT(COUNTIF($G$3:G20,"&lt;&gt;"),"0000"),"")</f>
        <v>A_PBL0017</v>
      </c>
      <c r="B20">
        <f>IF(A20&lt;&gt;"",SquadraAttiva,"")</f>
        <v>3</v>
      </c>
      <c r="C20" t="str">
        <f t="shared" si="0"/>
        <v>3-A_PBL0017</v>
      </c>
      <c r="D20">
        <f>IFERROR(_xlfn.XLOOKUP(C20,tblRisposte[idValutazione],tblRisposte[Valore],""),"")</f>
        <v>2</v>
      </c>
      <c r="F20" s="78" t="s">
        <v>152</v>
      </c>
      <c r="G20" t="s">
        <v>35</v>
      </c>
      <c r="H20" cm="1">
        <f t="array" ref="H20">_xlfn.LET(_xlpm.v,_xlfn.XLOOKUP(G20,tblValutazioni[TipoValutazione],tblValutazioni[MB],""),IF(_xlpm.v="","",_xlpm.v))</f>
        <v>5</v>
      </c>
      <c r="I20" s="18">
        <f>IF(_xlfn.XLOOKUP($A20, tblRisposte[ItemKey],tblRisposte[Valore],"")="Molto bene","X",0)</f>
        <v>0</v>
      </c>
      <c r="J20" s="1">
        <f t="shared" si="1"/>
        <v>0</v>
      </c>
      <c r="K20" s="2" cm="1">
        <f t="array" ref="K20">_xlfn.LET(_xlpm.v,_xlfn.XLOOKUP(G20,tblValutazioni[TipoValutazione],tblValutazioni[BE],""),IF(_xlpm.v="","",_xlpm.v))</f>
        <v>4</v>
      </c>
      <c r="L20" s="18">
        <f>IF(_xlfn.XLOOKUP($A20, tblRisposte[ItemKey], tblRisposte[Valore], "")="Bene","X",0)</f>
        <v>0</v>
      </c>
      <c r="M20" s="1">
        <f t="shared" si="2"/>
        <v>0</v>
      </c>
      <c r="N20" s="2" cm="1">
        <f t="array" ref="N20">_xlfn.LET(_xlpm.v,_xlfn.XLOOKUP(G20,tblValutazioni[TipoValutazione],tblValutazioni[SU],""),IF(_xlpm.v="","",_xlpm.v))</f>
        <v>2</v>
      </c>
      <c r="O20" s="18">
        <f>IF(_xlfn.XLOOKUP($A20, tblRisposte[ItemKey], tblRisposte[Valore], "")="Soddisfacente","X",0)</f>
        <v>0</v>
      </c>
      <c r="P20" s="1">
        <f t="shared" si="3"/>
        <v>0</v>
      </c>
      <c r="Q20" s="2" cm="1">
        <f t="array" ref="Q20">_xlfn.LET(_xlpm.v,_xlfn.XLOOKUP(G20,tblValutazioni[TipoValutazione],tblValutazioni[IN],""),IF(_xlpm.v="","",_xlpm.v))</f>
        <v>1</v>
      </c>
      <c r="R20" s="18">
        <f>IF(_xlfn.XLOOKUP($A20, tblRisposte[ItemKey], tblRisposte[Valore], "")="Insufficiente","X",0)</f>
        <v>0</v>
      </c>
      <c r="S20" s="1">
        <f t="shared" si="4"/>
        <v>0</v>
      </c>
      <c r="T20" s="2" cm="1">
        <f t="array" ref="T20">_xlfn.LET(_xlpm.v,_xlfn.XLOOKUP(G20,tblValutazioni[TipoValutazione],tblValutazioni[NE],""),IF(_xlpm.v="","",_xlpm.v))</f>
        <v>0</v>
      </c>
      <c r="U20" s="18">
        <f>IF(_xlfn.XLOOKUP($A20, tblRisposte[ItemKey], tblRisposte[Valore], "")="Non eseguito","X",0)</f>
        <v>0</v>
      </c>
      <c r="V20" s="1">
        <f t="shared" si="5"/>
        <v>0</v>
      </c>
      <c r="W20">
        <f t="shared" si="6"/>
        <v>0</v>
      </c>
      <c r="X20" t="str">
        <f>IF(COUNTIF(I20:U20,"X")=1,"OK","errore")</f>
        <v>errore</v>
      </c>
      <c r="Y20" t="str">
        <f>IF(B20="SEP",IF(I20="x",H20,IF(L20="X",K20,IF(O20="x",N20,IF(R20="X",Q20,IF(U20="X",T20,""))))),"")</f>
        <v/>
      </c>
    </row>
    <row r="21" spans="1:26" ht="15" customHeight="1">
      <c r="A21" t="str">
        <f>IF(G21&lt;&gt;"",ScenaAttiva&amp;"_"&amp;AB$4&amp;TEXT(COUNTIF($G$3:G21,"&lt;&gt;"),"0000"),"")</f>
        <v>A_PBL0018</v>
      </c>
      <c r="B21">
        <f>IF(A21&lt;&gt;"",SquadraAttiva,"")</f>
        <v>3</v>
      </c>
      <c r="C21" t="str">
        <f t="shared" si="0"/>
        <v>3-A_PBL0018</v>
      </c>
      <c r="D21">
        <f>IFERROR(_xlfn.XLOOKUP(C21,tblRisposte[idValutazione],tblRisposte[Valore],""),"")</f>
        <v>2</v>
      </c>
      <c r="F21" s="78" t="s">
        <v>154</v>
      </c>
      <c r="G21" t="s">
        <v>35</v>
      </c>
      <c r="H21" cm="1">
        <f t="array" ref="H21">_xlfn.LET(_xlpm.v,_xlfn.XLOOKUP(G21,tblValutazioni[TipoValutazione],tblValutazioni[MB],""),IF(_xlpm.v="","",_xlpm.v))</f>
        <v>5</v>
      </c>
      <c r="I21" s="18">
        <f>IF(_xlfn.XLOOKUP($A21, tblRisposte[ItemKey],tblRisposte[Valore],"")="Molto bene","X",0)</f>
        <v>0</v>
      </c>
      <c r="J21" s="1">
        <f t="shared" si="1"/>
        <v>0</v>
      </c>
      <c r="K21" s="2" cm="1">
        <f t="array" ref="K21">_xlfn.LET(_xlpm.v,_xlfn.XLOOKUP(G21,tblValutazioni[TipoValutazione],tblValutazioni[BE],""),IF(_xlpm.v="","",_xlpm.v))</f>
        <v>4</v>
      </c>
      <c r="L21" s="18">
        <f>IF(_xlfn.XLOOKUP($A21, tblRisposte[ItemKey], tblRisposte[Valore], "")="Bene","X",0)</f>
        <v>0</v>
      </c>
      <c r="M21" s="1">
        <f t="shared" si="2"/>
        <v>0</v>
      </c>
      <c r="N21" s="2" cm="1">
        <f t="array" ref="N21">_xlfn.LET(_xlpm.v,_xlfn.XLOOKUP(G21,tblValutazioni[TipoValutazione],tblValutazioni[SU],""),IF(_xlpm.v="","",_xlpm.v))</f>
        <v>2</v>
      </c>
      <c r="O21" s="18">
        <f>IF(_xlfn.XLOOKUP($A21, tblRisposte[ItemKey], tblRisposte[Valore], "")="Soddisfacente","X",0)</f>
        <v>0</v>
      </c>
      <c r="P21" s="1">
        <f t="shared" si="3"/>
        <v>0</v>
      </c>
      <c r="Q21" s="2" cm="1">
        <f t="array" ref="Q21">_xlfn.LET(_xlpm.v,_xlfn.XLOOKUP(G21,tblValutazioni[TipoValutazione],tblValutazioni[IN],""),IF(_xlpm.v="","",_xlpm.v))</f>
        <v>1</v>
      </c>
      <c r="R21" s="18">
        <f>IF(_xlfn.XLOOKUP($A21, tblRisposte[ItemKey], tblRisposte[Valore], "")="Insufficiente","X",0)</f>
        <v>0</v>
      </c>
      <c r="S21" s="1">
        <f t="shared" si="4"/>
        <v>0</v>
      </c>
      <c r="T21" s="2" cm="1">
        <f t="array" ref="T21">_xlfn.LET(_xlpm.v,_xlfn.XLOOKUP(G21,tblValutazioni[TipoValutazione],tblValutazioni[NE],""),IF(_xlpm.v="","",_xlpm.v))</f>
        <v>0</v>
      </c>
      <c r="U21" s="18">
        <f>IF(_xlfn.XLOOKUP($A21, tblRisposte[ItemKey], tblRisposte[Valore], "")="Non eseguito","X",0)</f>
        <v>0</v>
      </c>
      <c r="V21" s="1">
        <f t="shared" si="5"/>
        <v>0</v>
      </c>
      <c r="W21">
        <f t="shared" si="6"/>
        <v>0</v>
      </c>
      <c r="X21" t="str">
        <f>IF(COUNTIF(I21:U21,"X")=1,"OK","errore")</f>
        <v>errore</v>
      </c>
      <c r="Y21" t="str">
        <f>IF(B21="SEP",IF(I21="x",H21,IF(L21="X",K21,IF(O21="x",N21,IF(R21="X",Q21,IF(U21="X",T21,""))))),"")</f>
        <v/>
      </c>
    </row>
    <row r="22" spans="1:26" ht="15" customHeight="1">
      <c r="A22" t="str">
        <f>IF(G22&lt;&gt;"",ScenaAttiva&amp;"_"&amp;AB$4&amp;TEXT(COUNTIF($G$3:G22,"&lt;&gt;"),"0000"),"")</f>
        <v>A_PBL0019</v>
      </c>
      <c r="B22">
        <f>IF(A22&lt;&gt;"",SquadraAttiva,"")</f>
        <v>3</v>
      </c>
      <c r="C22" t="str">
        <f t="shared" si="0"/>
        <v>3-A_PBL0019</v>
      </c>
      <c r="D22">
        <f>IFERROR(_xlfn.XLOOKUP(C22,tblRisposte[idValutazione],tblRisposte[Valore],""),"")</f>
        <v>2</v>
      </c>
      <c r="F22" s="78" t="s">
        <v>156</v>
      </c>
      <c r="G22" t="s">
        <v>35</v>
      </c>
      <c r="H22" cm="1">
        <f t="array" ref="H22">_xlfn.LET(_xlpm.v,_xlfn.XLOOKUP(G22,tblValutazioni[TipoValutazione],tblValutazioni[MB],""),IF(_xlpm.v="","",_xlpm.v))</f>
        <v>5</v>
      </c>
      <c r="I22" s="18">
        <f>IF(_xlfn.XLOOKUP($A22, tblRisposte[ItemKey],tblRisposte[Valore],"")="Molto bene","X",0)</f>
        <v>0</v>
      </c>
      <c r="J22" s="1">
        <f t="shared" si="1"/>
        <v>0</v>
      </c>
      <c r="K22" s="2" cm="1">
        <f t="array" ref="K22">_xlfn.LET(_xlpm.v,_xlfn.XLOOKUP(G22,tblValutazioni[TipoValutazione],tblValutazioni[BE],""),IF(_xlpm.v="","",_xlpm.v))</f>
        <v>4</v>
      </c>
      <c r="L22" s="18">
        <f>IF(_xlfn.XLOOKUP($A22, tblRisposte[ItemKey], tblRisposte[Valore], "")="Bene","X",0)</f>
        <v>0</v>
      </c>
      <c r="M22" s="1">
        <f t="shared" si="2"/>
        <v>0</v>
      </c>
      <c r="N22" s="2" cm="1">
        <f t="array" ref="N22">_xlfn.LET(_xlpm.v,_xlfn.XLOOKUP(G22,tblValutazioni[TipoValutazione],tblValutazioni[SU],""),IF(_xlpm.v="","",_xlpm.v))</f>
        <v>2</v>
      </c>
      <c r="O22" s="18">
        <f>IF(_xlfn.XLOOKUP($A22, tblRisposte[ItemKey], tblRisposte[Valore], "")="Soddisfacente","X",0)</f>
        <v>0</v>
      </c>
      <c r="P22" s="1">
        <f t="shared" si="3"/>
        <v>0</v>
      </c>
      <c r="Q22" s="2" cm="1">
        <f t="array" ref="Q22">_xlfn.LET(_xlpm.v,_xlfn.XLOOKUP(G22,tblValutazioni[TipoValutazione],tblValutazioni[IN],""),IF(_xlpm.v="","",_xlpm.v))</f>
        <v>1</v>
      </c>
      <c r="R22" s="18">
        <f>IF(_xlfn.XLOOKUP($A22, tblRisposte[ItemKey], tblRisposte[Valore], "")="Insufficiente","X",0)</f>
        <v>0</v>
      </c>
      <c r="S22" s="1">
        <f t="shared" si="4"/>
        <v>0</v>
      </c>
      <c r="T22" s="2" cm="1">
        <f t="array" ref="T22">_xlfn.LET(_xlpm.v,_xlfn.XLOOKUP(G22,tblValutazioni[TipoValutazione],tblValutazioni[NE],""),IF(_xlpm.v="","",_xlpm.v))</f>
        <v>0</v>
      </c>
      <c r="U22" s="18">
        <f>IF(_xlfn.XLOOKUP($A22, tblRisposte[ItemKey], tblRisposte[Valore], "")="Non eseguito","X",0)</f>
        <v>0</v>
      </c>
      <c r="V22" s="1">
        <f t="shared" si="5"/>
        <v>0</v>
      </c>
      <c r="W22">
        <f t="shared" si="6"/>
        <v>0</v>
      </c>
      <c r="X22" t="str">
        <f>IF(COUNTIF(I22:U22,"X")=1,"OK","errore")</f>
        <v>errore</v>
      </c>
      <c r="Y22" t="str">
        <f>IF(B22="SEP",IF(I22="x",H22,IF(L22="X",K22,IF(O22="x",N22,IF(R22="X",Q22,IF(U22="X",T22,""))))),"")</f>
        <v/>
      </c>
      <c r="Z22" t="str" cm="1">
        <f t="array" ref="Z22">INDEX(tblMapSchede[SIGLA],2,AA3)</f>
        <v>PBL</v>
      </c>
    </row>
    <row r="23" spans="1:26" ht="15" customHeight="1">
      <c r="A23" t="str">
        <f>IF(G23&lt;&gt;"",ScenaAttiva&amp;"_"&amp;AB$4&amp;TEXT(COUNTIF($G$3:G23,"&lt;&gt;"),"0000"),"")</f>
        <v>A_PBL0020</v>
      </c>
      <c r="B23">
        <f>IF(A23&lt;&gt;"",SquadraAttiva,"")</f>
        <v>3</v>
      </c>
      <c r="C23" t="str">
        <f t="shared" si="0"/>
        <v>3-A_PBL0020</v>
      </c>
      <c r="D23">
        <f>IFERROR(_xlfn.XLOOKUP(C23,tblRisposte[idValutazione],tblRisposte[Valore],""),"")</f>
        <v>2</v>
      </c>
      <c r="F23" s="78" t="s">
        <v>158</v>
      </c>
      <c r="G23" t="s">
        <v>35</v>
      </c>
      <c r="H23" cm="1">
        <f t="array" ref="H23">_xlfn.LET(_xlpm.v,_xlfn.XLOOKUP(G23,tblValutazioni[TipoValutazione],tblValutazioni[MB],""),IF(_xlpm.v="","",_xlpm.v))</f>
        <v>5</v>
      </c>
      <c r="I23" s="18">
        <f>IF(_xlfn.XLOOKUP($A23, tblRisposte[ItemKey],tblRisposte[Valore],"")="Molto bene","X",0)</f>
        <v>0</v>
      </c>
      <c r="J23" s="1">
        <f t="shared" si="1"/>
        <v>0</v>
      </c>
      <c r="K23" s="2" cm="1">
        <f t="array" ref="K23">_xlfn.LET(_xlpm.v,_xlfn.XLOOKUP(G23,tblValutazioni[TipoValutazione],tblValutazioni[BE],""),IF(_xlpm.v="","",_xlpm.v))</f>
        <v>4</v>
      </c>
      <c r="L23" s="18">
        <f>IF(_xlfn.XLOOKUP($A23, tblRisposte[ItemKey], tblRisposte[Valore], "")="Bene","X",0)</f>
        <v>0</v>
      </c>
      <c r="M23" s="1">
        <f t="shared" si="2"/>
        <v>0</v>
      </c>
      <c r="N23" s="2" cm="1">
        <f t="array" ref="N23">_xlfn.LET(_xlpm.v,_xlfn.XLOOKUP(G23,tblValutazioni[TipoValutazione],tblValutazioni[SU],""),IF(_xlpm.v="","",_xlpm.v))</f>
        <v>2</v>
      </c>
      <c r="O23" s="18">
        <f>IF(_xlfn.XLOOKUP($A23, tblRisposte[ItemKey], tblRisposte[Valore], "")="Soddisfacente","X",0)</f>
        <v>0</v>
      </c>
      <c r="P23" s="1">
        <f t="shared" si="3"/>
        <v>0</v>
      </c>
      <c r="Q23" s="2" cm="1">
        <f t="array" ref="Q23">_xlfn.LET(_xlpm.v,_xlfn.XLOOKUP(G23,tblValutazioni[TipoValutazione],tblValutazioni[IN],""),IF(_xlpm.v="","",_xlpm.v))</f>
        <v>1</v>
      </c>
      <c r="R23" s="18">
        <f>IF(_xlfn.XLOOKUP($A23, tblRisposte[ItemKey], tblRisposte[Valore], "")="Insufficiente","X",0)</f>
        <v>0</v>
      </c>
      <c r="S23" s="1">
        <f t="shared" si="4"/>
        <v>0</v>
      </c>
      <c r="T23" s="2" cm="1">
        <f t="array" ref="T23">_xlfn.LET(_xlpm.v,_xlfn.XLOOKUP(G23,tblValutazioni[TipoValutazione],tblValutazioni[NE],""),IF(_xlpm.v="","",_xlpm.v))</f>
        <v>0</v>
      </c>
      <c r="U23" s="18">
        <f>IF(_xlfn.XLOOKUP($A23, tblRisposte[ItemKey], tblRisposte[Valore], "")="Non eseguito","X",0)</f>
        <v>0</v>
      </c>
      <c r="V23" s="1">
        <f t="shared" si="5"/>
        <v>0</v>
      </c>
      <c r="W23">
        <f t="shared" si="6"/>
        <v>0</v>
      </c>
      <c r="X23" t="str">
        <f>IF(COUNTIF(I23:U23,"X")=1,"OK","errore")</f>
        <v>errore</v>
      </c>
      <c r="Y23" t="str">
        <f>IF(B23="SEP",IF(I23="x",H23,IF(L23="X",K23,IF(O23="x",N23,IF(R23="X",Q23,IF(U23="X",T23,""))))),"")</f>
        <v/>
      </c>
    </row>
    <row r="24" spans="1:26" ht="15" customHeight="1">
      <c r="A24" t="str">
        <f>IF(G24&lt;&gt;"",ScenaAttiva&amp;"_"&amp;AB$4&amp;TEXT(COUNTIF($G$3:G24,"&lt;&gt;"),"0000"),"")</f>
        <v>A_PBL0021</v>
      </c>
      <c r="B24">
        <f>IF(A24&lt;&gt;"",SquadraAttiva,"")</f>
        <v>3</v>
      </c>
      <c r="C24" t="str">
        <f t="shared" si="0"/>
        <v>3-A_PBL0021</v>
      </c>
      <c r="D24">
        <f>IFERROR(_xlfn.XLOOKUP(C24,tblRisposte[idValutazione],tblRisposte[Valore],""),"")</f>
        <v>2</v>
      </c>
      <c r="F24" s="78" t="s">
        <v>160</v>
      </c>
      <c r="G24" t="s">
        <v>35</v>
      </c>
      <c r="H24" cm="1">
        <f t="array" ref="H24">_xlfn.LET(_xlpm.v,_xlfn.XLOOKUP(G24,tblValutazioni[TipoValutazione],tblValutazioni[MB],""),IF(_xlpm.v="","",_xlpm.v))</f>
        <v>5</v>
      </c>
      <c r="I24" s="18">
        <f>IF(_xlfn.XLOOKUP($A24, tblRisposte[ItemKey],tblRisposte[Valore],"")="Molto bene","X",0)</f>
        <v>0</v>
      </c>
      <c r="J24" s="1">
        <f t="shared" si="1"/>
        <v>0</v>
      </c>
      <c r="K24" s="2" cm="1">
        <f t="array" ref="K24">_xlfn.LET(_xlpm.v,_xlfn.XLOOKUP(G24,tblValutazioni[TipoValutazione],tblValutazioni[BE],""),IF(_xlpm.v="","",_xlpm.v))</f>
        <v>4</v>
      </c>
      <c r="L24" s="18">
        <f>IF(_xlfn.XLOOKUP($A24, tblRisposte[ItemKey], tblRisposte[Valore], "")="Bene","X",0)</f>
        <v>0</v>
      </c>
      <c r="M24" s="1">
        <f t="shared" si="2"/>
        <v>0</v>
      </c>
      <c r="N24" s="2" cm="1">
        <f t="array" ref="N24">_xlfn.LET(_xlpm.v,_xlfn.XLOOKUP(G24,tblValutazioni[TipoValutazione],tblValutazioni[SU],""),IF(_xlpm.v="","",_xlpm.v))</f>
        <v>2</v>
      </c>
      <c r="O24" s="18">
        <f>IF(_xlfn.XLOOKUP($A24, tblRisposte[ItemKey], tblRisposte[Valore], "")="Soddisfacente","X",0)</f>
        <v>0</v>
      </c>
      <c r="P24" s="1">
        <f t="shared" si="3"/>
        <v>0</v>
      </c>
      <c r="Q24" s="2" cm="1">
        <f t="array" ref="Q24">_xlfn.LET(_xlpm.v,_xlfn.XLOOKUP(G24,tblValutazioni[TipoValutazione],tblValutazioni[IN],""),IF(_xlpm.v="","",_xlpm.v))</f>
        <v>1</v>
      </c>
      <c r="R24" s="18">
        <f>IF(_xlfn.XLOOKUP($A24, tblRisposte[ItemKey], tblRisposte[Valore], "")="Insufficiente","X",0)</f>
        <v>0</v>
      </c>
      <c r="S24" s="1">
        <f t="shared" si="4"/>
        <v>0</v>
      </c>
      <c r="T24" s="2" cm="1">
        <f t="array" ref="T24">_xlfn.LET(_xlpm.v,_xlfn.XLOOKUP(G24,tblValutazioni[TipoValutazione],tblValutazioni[NE],""),IF(_xlpm.v="","",_xlpm.v))</f>
        <v>0</v>
      </c>
      <c r="U24" s="18">
        <f>IF(_xlfn.XLOOKUP($A24, tblRisposte[ItemKey], tblRisposte[Valore], "")="Non eseguito","X",0)</f>
        <v>0</v>
      </c>
      <c r="V24" s="1">
        <f t="shared" si="5"/>
        <v>0</v>
      </c>
      <c r="W24">
        <f t="shared" si="6"/>
        <v>0</v>
      </c>
      <c r="X24" t="str">
        <f>IF(COUNTIF(I24:U24,"X")=1,"OK","errore")</f>
        <v>errore</v>
      </c>
      <c r="Y24" t="str">
        <f>IF(B24="SEP",IF(I24="x",H24,IF(L24="X",K24,IF(O24="x",N24,IF(R24="X",Q24,IF(U24="X",T24,""))))),"")</f>
        <v/>
      </c>
    </row>
    <row r="25" spans="1:26" ht="15" customHeight="1">
      <c r="A25" t="str">
        <f>IF(G25&lt;&gt;"",ScenaAttiva&amp;"_"&amp;AB$4&amp;TEXT(COUNTIF($G$3:G25,"&lt;&gt;"),"0000"),"")</f>
        <v>A_PBL0022</v>
      </c>
      <c r="B25">
        <f>IF(A25&lt;&gt;"",SquadraAttiva,"")</f>
        <v>3</v>
      </c>
      <c r="C25" t="str">
        <f t="shared" si="0"/>
        <v>3-A_PBL0022</v>
      </c>
      <c r="D25">
        <f>IFERROR(_xlfn.XLOOKUP(C25,tblRisposte[idValutazione],tblRisposte[Valore],""),"")</f>
        <v>1</v>
      </c>
      <c r="F25" s="78" t="s">
        <v>162</v>
      </c>
      <c r="G25" t="s">
        <v>35</v>
      </c>
      <c r="H25" cm="1">
        <f t="array" ref="H25">_xlfn.LET(_xlpm.v,_xlfn.XLOOKUP(G25,tblValutazioni[TipoValutazione],tblValutazioni[MB],""),IF(_xlpm.v="","",_xlpm.v))</f>
        <v>5</v>
      </c>
      <c r="I25" s="18">
        <f>IF(_xlfn.XLOOKUP($A25, tblRisposte[ItemKey],tblRisposte[Valore],"")="Molto bene","X",0)</f>
        <v>0</v>
      </c>
      <c r="J25" s="1">
        <f t="shared" si="1"/>
        <v>0</v>
      </c>
      <c r="K25" s="2" cm="1">
        <f t="array" ref="K25">_xlfn.LET(_xlpm.v,_xlfn.XLOOKUP(G25,tblValutazioni[TipoValutazione],tblValutazioni[BE],""),IF(_xlpm.v="","",_xlpm.v))</f>
        <v>4</v>
      </c>
      <c r="L25" s="18">
        <f>IF(_xlfn.XLOOKUP($A25, tblRisposte[ItemKey], tblRisposte[Valore], "")="Bene","X",0)</f>
        <v>0</v>
      </c>
      <c r="M25" s="1">
        <f t="shared" si="2"/>
        <v>0</v>
      </c>
      <c r="N25" s="2" cm="1">
        <f t="array" ref="N25">_xlfn.LET(_xlpm.v,_xlfn.XLOOKUP(G25,tblValutazioni[TipoValutazione],tblValutazioni[SU],""),IF(_xlpm.v="","",_xlpm.v))</f>
        <v>2</v>
      </c>
      <c r="O25" s="18">
        <f>IF(_xlfn.XLOOKUP($A25, tblRisposte[ItemKey], tblRisposte[Valore], "")="Soddisfacente","X",0)</f>
        <v>0</v>
      </c>
      <c r="P25" s="1">
        <f t="shared" si="3"/>
        <v>0</v>
      </c>
      <c r="Q25" s="2" cm="1">
        <f t="array" ref="Q25">_xlfn.LET(_xlpm.v,_xlfn.XLOOKUP(G25,tblValutazioni[TipoValutazione],tblValutazioni[IN],""),IF(_xlpm.v="","",_xlpm.v))</f>
        <v>1</v>
      </c>
      <c r="R25" s="18">
        <f>IF(_xlfn.XLOOKUP($A25, tblRisposte[ItemKey], tblRisposte[Valore], "")="Insufficiente","X",0)</f>
        <v>0</v>
      </c>
      <c r="S25" s="1">
        <f t="shared" si="4"/>
        <v>0</v>
      </c>
      <c r="T25" s="2" cm="1">
        <f t="array" ref="T25">_xlfn.LET(_xlpm.v,_xlfn.XLOOKUP(G25,tblValutazioni[TipoValutazione],tblValutazioni[NE],""),IF(_xlpm.v="","",_xlpm.v))</f>
        <v>0</v>
      </c>
      <c r="U25" s="18">
        <f>IF(_xlfn.XLOOKUP($A25, tblRisposte[ItemKey], tblRisposte[Valore], "")="Non eseguito","X",0)</f>
        <v>0</v>
      </c>
      <c r="V25" s="1">
        <f t="shared" si="5"/>
        <v>0</v>
      </c>
      <c r="W25">
        <f t="shared" si="6"/>
        <v>0</v>
      </c>
      <c r="X25" t="str">
        <f>IF(COUNTIF(I25:U25,"X")=1,"OK","errore")</f>
        <v>errore</v>
      </c>
      <c r="Y25" t="str">
        <f>IF(B25="SEP",IF(I25="x",H25,IF(L25="X",K25,IF(O25="x",N25,IF(R25="X",Q25,IF(U25="X",T25,""))))),"")</f>
        <v/>
      </c>
    </row>
    <row r="26" spans="1:26" ht="15" customHeight="1">
      <c r="A26" t="str">
        <f>IF(G26&lt;&gt;"",ScenaAttiva&amp;"_"&amp;AB$4&amp;TEXT(COUNTIF($G$3:G26,"&lt;&gt;"),"0000"),"")</f>
        <v>A_PBL0023</v>
      </c>
      <c r="B26">
        <f>IF(A26&lt;&gt;"",SquadraAttiva,"")</f>
        <v>3</v>
      </c>
      <c r="C26" t="str">
        <f t="shared" si="0"/>
        <v>3-A_PBL0023</v>
      </c>
      <c r="D26">
        <f>IFERROR(_xlfn.XLOOKUP(C26,tblRisposte[idValutazione],tblRisposte[Valore],""),"")</f>
        <v>2</v>
      </c>
      <c r="F26" s="78" t="s">
        <v>164</v>
      </c>
      <c r="G26" t="s">
        <v>35</v>
      </c>
      <c r="H26" cm="1">
        <f t="array" ref="H26">_xlfn.LET(_xlpm.v,_xlfn.XLOOKUP(G26,tblValutazioni[TipoValutazione],tblValutazioni[MB],""),IF(_xlpm.v="","",_xlpm.v))</f>
        <v>5</v>
      </c>
      <c r="I26" s="18">
        <f>IF(_xlfn.XLOOKUP($A26, tblRisposte[ItemKey],tblRisposte[Valore],"")="Molto bene","X",0)</f>
        <v>0</v>
      </c>
      <c r="J26" s="1">
        <f t="shared" si="1"/>
        <v>0</v>
      </c>
      <c r="K26" s="2" cm="1">
        <f t="array" ref="K26">_xlfn.LET(_xlpm.v,_xlfn.XLOOKUP(G26,tblValutazioni[TipoValutazione],tblValutazioni[BE],""),IF(_xlpm.v="","",_xlpm.v))</f>
        <v>4</v>
      </c>
      <c r="L26" s="18">
        <f>IF(_xlfn.XLOOKUP($A26, tblRisposte[ItemKey], tblRisposte[Valore], "")="Bene","X",0)</f>
        <v>0</v>
      </c>
      <c r="M26" s="1">
        <f t="shared" si="2"/>
        <v>0</v>
      </c>
      <c r="N26" s="2" cm="1">
        <f t="array" ref="N26">_xlfn.LET(_xlpm.v,_xlfn.XLOOKUP(G26,tblValutazioni[TipoValutazione],tblValutazioni[SU],""),IF(_xlpm.v="","",_xlpm.v))</f>
        <v>2</v>
      </c>
      <c r="O26" s="18">
        <f>IF(_xlfn.XLOOKUP($A26, tblRisposte[ItemKey], tblRisposte[Valore], "")="Soddisfacente","X",0)</f>
        <v>0</v>
      </c>
      <c r="P26" s="1">
        <f t="shared" si="3"/>
        <v>0</v>
      </c>
      <c r="Q26" s="2" cm="1">
        <f t="array" ref="Q26">_xlfn.LET(_xlpm.v,_xlfn.XLOOKUP(G26,tblValutazioni[TipoValutazione],tblValutazioni[IN],""),IF(_xlpm.v="","",_xlpm.v))</f>
        <v>1</v>
      </c>
      <c r="R26" s="18">
        <f>IF(_xlfn.XLOOKUP($A26, tblRisposte[ItemKey], tblRisposte[Valore], "")="Insufficiente","X",0)</f>
        <v>0</v>
      </c>
      <c r="S26" s="1">
        <f t="shared" si="4"/>
        <v>0</v>
      </c>
      <c r="T26" s="2" cm="1">
        <f t="array" ref="T26">_xlfn.LET(_xlpm.v,_xlfn.XLOOKUP(G26,tblValutazioni[TipoValutazione],tblValutazioni[NE],""),IF(_xlpm.v="","",_xlpm.v))</f>
        <v>0</v>
      </c>
      <c r="U26" s="18">
        <f>IF(_xlfn.XLOOKUP($A26, tblRisposte[ItemKey], tblRisposte[Valore], "")="Non eseguito","X",0)</f>
        <v>0</v>
      </c>
      <c r="V26" s="1">
        <f t="shared" si="5"/>
        <v>0</v>
      </c>
      <c r="W26">
        <f t="shared" si="6"/>
        <v>0</v>
      </c>
      <c r="X26" t="str">
        <f>IF(COUNTIF(I26:U26,"X")=1,"OK","errore")</f>
        <v>errore</v>
      </c>
      <c r="Y26" t="str">
        <f>IF(B26="SEP",IF(I26="x",H26,IF(L26="X",K26,IF(O26="x",N26,IF(R26="X",Q26,IF(U26="X",T26,""))))),"")</f>
        <v/>
      </c>
    </row>
    <row r="27" spans="1:26" ht="15" customHeight="1">
      <c r="A27" t="str">
        <f>IF(G27&lt;&gt;"",ScenaAttiva&amp;"_"&amp;AB$4&amp;TEXT(COUNTIF($G$3:G27,"&lt;&gt;"),"0000"),"")</f>
        <v/>
      </c>
      <c r="B27" t="str">
        <f>IF(A27&lt;&gt;"",SquadraAttiva,"")</f>
        <v/>
      </c>
      <c r="C27" t="str">
        <f t="shared" si="0"/>
        <v/>
      </c>
      <c r="D27" t="str">
        <f>IFERROR(_xlfn.XLOOKUP(C27,tblRisposte[idValutazione],tblRisposte[Valore],""),"")</f>
        <v/>
      </c>
      <c r="F27" t="s">
        <v>730</v>
      </c>
      <c r="H27" t="str" cm="1">
        <f t="array" ref="H27">_xlfn.LET(_xlpm.v,_xlfn.XLOOKUP(G27,tblValutazioni[TipoValutazione],tblValutazioni[MB],""),IF(_xlpm.v="","",_xlpm.v))</f>
        <v/>
      </c>
      <c r="I27" s="18">
        <f>IF(_xlfn.XLOOKUP($A27, tblRisposte[ItemKey],tblRisposte[Valore],"")="Molto bene","X",0)</f>
        <v>0</v>
      </c>
      <c r="J27" s="1">
        <f t="shared" si="1"/>
        <v>0</v>
      </c>
      <c r="K27" s="2" t="str" cm="1">
        <f t="array" ref="K27">_xlfn.LET(_xlpm.v,_xlfn.XLOOKUP(G27,tblValutazioni[TipoValutazione],tblValutazioni[BE],""),IF(_xlpm.v="","",_xlpm.v))</f>
        <v/>
      </c>
      <c r="L27" s="18">
        <f>IF(_xlfn.XLOOKUP($A27, tblRisposte[ItemKey], tblRisposte[Valore], "")="Bene","X",0)</f>
        <v>0</v>
      </c>
      <c r="M27" s="1">
        <f t="shared" si="2"/>
        <v>0</v>
      </c>
      <c r="N27" s="2" t="str" cm="1">
        <f t="array" ref="N27">_xlfn.LET(_xlpm.v,_xlfn.XLOOKUP(G27,tblValutazioni[TipoValutazione],tblValutazioni[SU],""),IF(_xlpm.v="","",_xlpm.v))</f>
        <v/>
      </c>
      <c r="O27" s="18">
        <f>IF(_xlfn.XLOOKUP($A27, tblRisposte[ItemKey], tblRisposte[Valore], "")="Soddisfacente","X",0)</f>
        <v>0</v>
      </c>
      <c r="P27" s="1">
        <f t="shared" si="3"/>
        <v>0</v>
      </c>
      <c r="Q27" s="2" t="str" cm="1">
        <f t="array" ref="Q27">_xlfn.LET(_xlpm.v,_xlfn.XLOOKUP(G27,tblValutazioni[TipoValutazione],tblValutazioni[IN],""),IF(_xlpm.v="","",_xlpm.v))</f>
        <v/>
      </c>
      <c r="R27" s="18">
        <f>IF(_xlfn.XLOOKUP($A27, tblRisposte[ItemKey], tblRisposte[Valore], "")="Insufficiente","X",0)</f>
        <v>0</v>
      </c>
      <c r="S27" s="1">
        <f t="shared" si="4"/>
        <v>0</v>
      </c>
      <c r="T27" s="2" t="str" cm="1">
        <f t="array" ref="T27">_xlfn.LET(_xlpm.v,_xlfn.XLOOKUP(G27,tblValutazioni[TipoValutazione],tblValutazioni[NE],""),IF(_xlpm.v="","",_xlpm.v))</f>
        <v/>
      </c>
      <c r="U27" s="18">
        <f>IF(_xlfn.XLOOKUP($A27, tblRisposte[ItemKey], tblRisposte[Valore], "")="Non eseguito","X",0)</f>
        <v>0</v>
      </c>
      <c r="V27" s="1">
        <f t="shared" si="5"/>
        <v>0</v>
      </c>
      <c r="W27">
        <f t="shared" si="6"/>
        <v>0</v>
      </c>
      <c r="X27" t="str">
        <f>IF(COUNTIF(I27:U27,"X")=1,"OK","errore")</f>
        <v>errore</v>
      </c>
      <c r="Y27" t="str">
        <f>IF(B27="SEP",IF(I27="x",H27,IF(L27="X",K27,IF(O27="x",N27,IF(R27="X",Q27,IF(U27="X",T27,""))))),"")</f>
        <v/>
      </c>
    </row>
    <row r="28" spans="1:26" ht="15" customHeight="1">
      <c r="A28" t="str">
        <f>IF(G28&lt;&gt;"",ScenaAttiva&amp;"_"&amp;AB$4&amp;TEXT(COUNTIF($G$3:G28,"&lt;&gt;"),"0000"),"")</f>
        <v/>
      </c>
      <c r="B28" t="str">
        <f>IF(A28&lt;&gt;"",SquadraAttiva,"")</f>
        <v/>
      </c>
      <c r="C28" t="str">
        <f t="shared" si="0"/>
        <v/>
      </c>
      <c r="D28" t="str">
        <f>IFERROR(_xlfn.XLOOKUP(C28,tblRisposte[idValutazione],tblRisposte[Valore],""),"")</f>
        <v/>
      </c>
      <c r="F28" t="s">
        <v>731</v>
      </c>
      <c r="H28" t="str" cm="1">
        <f t="array" ref="H28">_xlfn.LET(_xlpm.v,_xlfn.XLOOKUP(G28,tblValutazioni[TipoValutazione],tblValutazioni[MB],""),IF(_xlpm.v="","",_xlpm.v))</f>
        <v/>
      </c>
      <c r="I28" s="18">
        <f>IF(_xlfn.XLOOKUP($A28, tblRisposte[ItemKey],tblRisposte[Valore],"")="Molto bene","X",0)</f>
        <v>0</v>
      </c>
      <c r="J28" s="1">
        <f t="shared" si="1"/>
        <v>0</v>
      </c>
      <c r="K28" s="2" t="str" cm="1">
        <f t="array" ref="K28">_xlfn.LET(_xlpm.v,_xlfn.XLOOKUP(G28,tblValutazioni[TipoValutazione],tblValutazioni[BE],""),IF(_xlpm.v="","",_xlpm.v))</f>
        <v/>
      </c>
      <c r="L28" s="18">
        <f>IF(_xlfn.XLOOKUP($A28, tblRisposte[ItemKey], tblRisposte[Valore], "")="Bene","X",0)</f>
        <v>0</v>
      </c>
      <c r="M28" s="1">
        <f t="shared" si="2"/>
        <v>0</v>
      </c>
      <c r="N28" s="2" t="str" cm="1">
        <f t="array" ref="N28">_xlfn.LET(_xlpm.v,_xlfn.XLOOKUP(G28,tblValutazioni[TipoValutazione],tblValutazioni[SU],""),IF(_xlpm.v="","",_xlpm.v))</f>
        <v/>
      </c>
      <c r="O28" s="18">
        <f>IF(_xlfn.XLOOKUP($A28, tblRisposte[ItemKey], tblRisposte[Valore], "")="Soddisfacente","X",0)</f>
        <v>0</v>
      </c>
      <c r="P28" s="1">
        <f t="shared" si="3"/>
        <v>0</v>
      </c>
      <c r="Q28" s="2" t="str" cm="1">
        <f t="array" ref="Q28">_xlfn.LET(_xlpm.v,_xlfn.XLOOKUP(G28,tblValutazioni[TipoValutazione],tblValutazioni[IN],""),IF(_xlpm.v="","",_xlpm.v))</f>
        <v/>
      </c>
      <c r="R28" s="18">
        <f>IF(_xlfn.XLOOKUP($A28, tblRisposte[ItemKey], tblRisposte[Valore], "")="Insufficiente","X",0)</f>
        <v>0</v>
      </c>
      <c r="S28" s="1">
        <f t="shared" si="4"/>
        <v>0</v>
      </c>
      <c r="T28" s="2" t="str" cm="1">
        <f t="array" ref="T28">_xlfn.LET(_xlpm.v,_xlfn.XLOOKUP(G28,tblValutazioni[TipoValutazione],tblValutazioni[NE],""),IF(_xlpm.v="","",_xlpm.v))</f>
        <v/>
      </c>
      <c r="U28" s="18">
        <f>IF(_xlfn.XLOOKUP($A28, tblRisposte[ItemKey], tblRisposte[Valore], "")="Non eseguito","X",0)</f>
        <v>0</v>
      </c>
      <c r="V28" s="1">
        <f t="shared" si="5"/>
        <v>0</v>
      </c>
      <c r="W28">
        <f t="shared" si="6"/>
        <v>0</v>
      </c>
      <c r="X28" t="str">
        <f>IF(COUNTIF(I28:U28,"X")=1,"OK","errore")</f>
        <v>errore</v>
      </c>
      <c r="Y28" t="str">
        <f>IF(B28="SEP",IF(I28="x",H28,IF(L28="X",K28,IF(O28="x",N28,IF(R28="X",Q28,IF(U28="X",T28,""))))),"")</f>
        <v/>
      </c>
    </row>
    <row r="29" spans="1:26" ht="15" customHeight="1">
      <c r="A29" t="str">
        <f>IF(G29&lt;&gt;"",ScenaAttiva&amp;"_"&amp;AB$4&amp;TEXT(COUNTIF($G$3:G29,"&lt;&gt;"),"0000"),"")</f>
        <v/>
      </c>
      <c r="B29" t="str">
        <f>IF(A29&lt;&gt;"",SquadraAttiva,"")</f>
        <v/>
      </c>
      <c r="C29" t="str">
        <f t="shared" si="0"/>
        <v/>
      </c>
      <c r="D29" t="str">
        <f>IFERROR(_xlfn.XLOOKUP(C29,tblRisposte[idValutazione],tblRisposte[Valore],""),"")</f>
        <v/>
      </c>
      <c r="F29" t="s">
        <v>732</v>
      </c>
      <c r="H29" t="str" cm="1">
        <f t="array" ref="H29">_xlfn.LET(_xlpm.v,_xlfn.XLOOKUP(G29,tblValutazioni[TipoValutazione],tblValutazioni[MB],""),IF(_xlpm.v="","",_xlpm.v))</f>
        <v/>
      </c>
      <c r="I29" s="18">
        <f>IF(_xlfn.XLOOKUP($A29, tblRisposte[ItemKey],tblRisposte[Valore],"")="Molto bene","X",0)</f>
        <v>0</v>
      </c>
      <c r="J29" s="1">
        <f t="shared" si="1"/>
        <v>0</v>
      </c>
      <c r="K29" s="2" t="str" cm="1">
        <f t="array" ref="K29">_xlfn.LET(_xlpm.v,_xlfn.XLOOKUP(G29,tblValutazioni[TipoValutazione],tblValutazioni[BE],""),IF(_xlpm.v="","",_xlpm.v))</f>
        <v/>
      </c>
      <c r="L29" s="18">
        <f>IF(_xlfn.XLOOKUP($A29, tblRisposte[ItemKey], tblRisposte[Valore], "")="Bene","X",0)</f>
        <v>0</v>
      </c>
      <c r="M29" s="1">
        <f t="shared" si="2"/>
        <v>0</v>
      </c>
      <c r="N29" s="2" t="str" cm="1">
        <f t="array" ref="N29">_xlfn.LET(_xlpm.v,_xlfn.XLOOKUP(G29,tblValutazioni[TipoValutazione],tblValutazioni[SU],""),IF(_xlpm.v="","",_xlpm.v))</f>
        <v/>
      </c>
      <c r="O29" s="18">
        <f>IF(_xlfn.XLOOKUP($A29, tblRisposte[ItemKey], tblRisposte[Valore], "")="Soddisfacente","X",0)</f>
        <v>0</v>
      </c>
      <c r="P29" s="1">
        <f t="shared" si="3"/>
        <v>0</v>
      </c>
      <c r="Q29" s="2" t="str" cm="1">
        <f t="array" ref="Q29">_xlfn.LET(_xlpm.v,_xlfn.XLOOKUP(G29,tblValutazioni[TipoValutazione],tblValutazioni[IN],""),IF(_xlpm.v="","",_xlpm.v))</f>
        <v/>
      </c>
      <c r="R29" s="18">
        <f>IF(_xlfn.XLOOKUP($A29, tblRisposte[ItemKey], tblRisposte[Valore], "")="Insufficiente","X",0)</f>
        <v>0</v>
      </c>
      <c r="S29" s="1">
        <f t="shared" si="4"/>
        <v>0</v>
      </c>
      <c r="T29" s="2" t="str" cm="1">
        <f t="array" ref="T29">_xlfn.LET(_xlpm.v,_xlfn.XLOOKUP(G29,tblValutazioni[TipoValutazione],tblValutazioni[NE],""),IF(_xlpm.v="","",_xlpm.v))</f>
        <v/>
      </c>
      <c r="U29" s="18">
        <f>IF(_xlfn.XLOOKUP($A29, tblRisposte[ItemKey], tblRisposte[Valore], "")="Non eseguito","X",0)</f>
        <v>0</v>
      </c>
      <c r="V29" s="1">
        <f t="shared" si="5"/>
        <v>0</v>
      </c>
      <c r="W29">
        <f t="shared" si="6"/>
        <v>0</v>
      </c>
      <c r="X29" t="str">
        <f>IF(COUNTIF(I29:U29,"X")=1,"OK","errore")</f>
        <v>errore</v>
      </c>
      <c r="Y29" t="str">
        <f>IF(B29="SEP",IF(I29="x",H29,IF(L29="X",K29,IF(O29="x",N29,IF(R29="X",Q29,IF(U29="X",T29,""))))),"")</f>
        <v/>
      </c>
    </row>
    <row r="30" spans="1:26" ht="15" customHeight="1">
      <c r="A30" t="str">
        <f>IF(G30&lt;&gt;"",ScenaAttiva&amp;"_"&amp;AB$4&amp;TEXT(COUNTIF($G$3:G30,"&lt;&gt;"),"0000"),"")</f>
        <v/>
      </c>
      <c r="B30" t="str">
        <f>IF(A30&lt;&gt;"",SquadraAttiva,"")</f>
        <v/>
      </c>
      <c r="C30" t="str">
        <f t="shared" si="0"/>
        <v/>
      </c>
      <c r="D30" t="str">
        <f>IFERROR(_xlfn.XLOOKUP(C30,tblRisposte[idValutazione],tblRisposte[Valore],""),"")</f>
        <v/>
      </c>
      <c r="F30" t="s">
        <v>733</v>
      </c>
      <c r="H30" t="str" cm="1">
        <f t="array" ref="H30">_xlfn.LET(_xlpm.v,_xlfn.XLOOKUP(G30,tblValutazioni[TipoValutazione],tblValutazioni[MB],""),IF(_xlpm.v="","",_xlpm.v))</f>
        <v/>
      </c>
      <c r="I30" s="18">
        <f>IF(_xlfn.XLOOKUP($A30, tblRisposte[ItemKey],tblRisposte[Valore],"")="Molto bene","X",0)</f>
        <v>0</v>
      </c>
      <c r="J30" s="1">
        <f t="shared" si="1"/>
        <v>0</v>
      </c>
      <c r="K30" s="2" t="str" cm="1">
        <f t="array" ref="K30">_xlfn.LET(_xlpm.v,_xlfn.XLOOKUP(G30,tblValutazioni[TipoValutazione],tblValutazioni[BE],""),IF(_xlpm.v="","",_xlpm.v))</f>
        <v/>
      </c>
      <c r="L30" s="18">
        <f>IF(_xlfn.XLOOKUP($A30, tblRisposte[ItemKey], tblRisposte[Valore], "")="Bene","X",0)</f>
        <v>0</v>
      </c>
      <c r="M30" s="1">
        <f t="shared" si="2"/>
        <v>0</v>
      </c>
      <c r="N30" s="2" t="str" cm="1">
        <f t="array" ref="N30">_xlfn.LET(_xlpm.v,_xlfn.XLOOKUP(G30,tblValutazioni[TipoValutazione],tblValutazioni[SU],""),IF(_xlpm.v="","",_xlpm.v))</f>
        <v/>
      </c>
      <c r="O30" s="18">
        <f>IF(_xlfn.XLOOKUP($A30, tblRisposte[ItemKey], tblRisposte[Valore], "")="Soddisfacente","X",0)</f>
        <v>0</v>
      </c>
      <c r="P30" s="1">
        <f t="shared" si="3"/>
        <v>0</v>
      </c>
      <c r="Q30" s="2" t="str" cm="1">
        <f t="array" ref="Q30">_xlfn.LET(_xlpm.v,_xlfn.XLOOKUP(G30,tblValutazioni[TipoValutazione],tblValutazioni[IN],""),IF(_xlpm.v="","",_xlpm.v))</f>
        <v/>
      </c>
      <c r="R30" s="18">
        <f>IF(_xlfn.XLOOKUP($A30, tblRisposte[ItemKey], tblRisposte[Valore], "")="Insufficiente","X",0)</f>
        <v>0</v>
      </c>
      <c r="S30" s="1">
        <f t="shared" si="4"/>
        <v>0</v>
      </c>
      <c r="T30" s="2" t="str" cm="1">
        <f t="array" ref="T30">_xlfn.LET(_xlpm.v,_xlfn.XLOOKUP(G30,tblValutazioni[TipoValutazione],tblValutazioni[NE],""),IF(_xlpm.v="","",_xlpm.v))</f>
        <v/>
      </c>
      <c r="U30" s="18">
        <f>IF(_xlfn.XLOOKUP($A30, tblRisposte[ItemKey], tblRisposte[Valore], "")="Non eseguito","X",0)</f>
        <v>0</v>
      </c>
      <c r="V30" s="1">
        <f t="shared" si="5"/>
        <v>0</v>
      </c>
      <c r="W30">
        <f t="shared" si="6"/>
        <v>0</v>
      </c>
      <c r="X30" t="str">
        <f>IF(COUNTIF(I30:U30,"X")=1,"OK","errore")</f>
        <v>errore</v>
      </c>
      <c r="Y30" t="str">
        <f>IF(B30="SEP",IF(I30="x",H30,IF(L30="X",K30,IF(O30="x",N30,IF(R30="X",Q30,IF(U30="X",T30,""))))),"")</f>
        <v/>
      </c>
    </row>
    <row r="31" spans="1:26" ht="15" customHeight="1">
      <c r="A31" t="str">
        <f>IF(G31&lt;&gt;"",ScenaAttiva&amp;"_"&amp;AB$4&amp;TEXT(COUNTIF($G$3:G31,"&lt;&gt;"),"0000"),"")</f>
        <v/>
      </c>
      <c r="B31" t="str">
        <f>IF(A31&lt;&gt;"",SquadraAttiva,"")</f>
        <v/>
      </c>
      <c r="C31" t="str">
        <f t="shared" si="0"/>
        <v/>
      </c>
      <c r="D31" t="str">
        <f>IFERROR(_xlfn.XLOOKUP(C31,tblRisposte[idValutazione],tblRisposte[Valore],""),"")</f>
        <v/>
      </c>
      <c r="F31" t="s">
        <v>734</v>
      </c>
      <c r="H31" t="str" cm="1">
        <f t="array" ref="H31">_xlfn.LET(_xlpm.v,_xlfn.XLOOKUP(G31,tblValutazioni[TipoValutazione],tblValutazioni[MB],""),IF(_xlpm.v="","",_xlpm.v))</f>
        <v/>
      </c>
      <c r="I31" s="18">
        <f>IF(_xlfn.XLOOKUP($A31, tblRisposte[ItemKey],tblRisposte[Valore],"")="Molto bene","X",0)</f>
        <v>0</v>
      </c>
      <c r="J31" s="1">
        <f t="shared" si="1"/>
        <v>0</v>
      </c>
      <c r="K31" s="2" t="str" cm="1">
        <f t="array" ref="K31">_xlfn.LET(_xlpm.v,_xlfn.XLOOKUP(G31,tblValutazioni[TipoValutazione],tblValutazioni[BE],""),IF(_xlpm.v="","",_xlpm.v))</f>
        <v/>
      </c>
      <c r="L31" s="18">
        <f>IF(_xlfn.XLOOKUP($A31, tblRisposte[ItemKey], tblRisposte[Valore], "")="Bene","X",0)</f>
        <v>0</v>
      </c>
      <c r="M31" s="1">
        <f t="shared" si="2"/>
        <v>0</v>
      </c>
      <c r="N31" s="2" t="str" cm="1">
        <f t="array" ref="N31">_xlfn.LET(_xlpm.v,_xlfn.XLOOKUP(G31,tblValutazioni[TipoValutazione],tblValutazioni[SU],""),IF(_xlpm.v="","",_xlpm.v))</f>
        <v/>
      </c>
      <c r="O31" s="18">
        <f>IF(_xlfn.XLOOKUP($A31, tblRisposte[ItemKey], tblRisposte[Valore], "")="Soddisfacente","X",0)</f>
        <v>0</v>
      </c>
      <c r="P31" s="1">
        <f t="shared" si="3"/>
        <v>0</v>
      </c>
      <c r="Q31" s="2" t="str" cm="1">
        <f t="array" ref="Q31">_xlfn.LET(_xlpm.v,_xlfn.XLOOKUP(G31,tblValutazioni[TipoValutazione],tblValutazioni[IN],""),IF(_xlpm.v="","",_xlpm.v))</f>
        <v/>
      </c>
      <c r="R31" s="18">
        <f>IF(_xlfn.XLOOKUP($A31, tblRisposte[ItemKey], tblRisposte[Valore], "")="Insufficiente","X",0)</f>
        <v>0</v>
      </c>
      <c r="S31" s="1">
        <f t="shared" si="4"/>
        <v>0</v>
      </c>
      <c r="T31" s="2" t="str" cm="1">
        <f t="array" ref="T31">_xlfn.LET(_xlpm.v,_xlfn.XLOOKUP(G31,tblValutazioni[TipoValutazione],tblValutazioni[NE],""),IF(_xlpm.v="","",_xlpm.v))</f>
        <v/>
      </c>
      <c r="U31" s="18">
        <f>IF(_xlfn.XLOOKUP($A31, tblRisposte[ItemKey], tblRisposte[Valore], "")="Non eseguito","X",0)</f>
        <v>0</v>
      </c>
      <c r="V31" s="1">
        <f t="shared" si="5"/>
        <v>0</v>
      </c>
      <c r="W31">
        <f t="shared" si="6"/>
        <v>0</v>
      </c>
      <c r="X31" t="str">
        <f>IF(COUNTIF(I31:U31,"X")=1,"OK","errore")</f>
        <v>errore</v>
      </c>
      <c r="Y31" t="str">
        <f>IF(B31="SEP",IF(I31="x",H31,IF(L31="X",K31,IF(O31="x",N31,IF(R31="X",Q31,IF(U31="X",T31,""))))),"")</f>
        <v/>
      </c>
    </row>
    <row r="32" spans="1:26" ht="15" customHeight="1">
      <c r="A32" t="str">
        <f>IF(G32&lt;&gt;"",ScenaAttiva&amp;"_"&amp;AB$4&amp;TEXT(COUNTIF($G$3:G32,"&lt;&gt;"),"0000"),"")</f>
        <v/>
      </c>
      <c r="B32" t="str">
        <f>IF(A32&lt;&gt;"",SquadraAttiva,"")</f>
        <v/>
      </c>
      <c r="C32" t="str">
        <f t="shared" ref="C32:C40" si="7">IF(A32&lt;&gt;"",TEXT(B32,"0")&amp;"-"&amp;TRIM(A32),"")</f>
        <v/>
      </c>
      <c r="D32" t="str">
        <f>IFERROR(_xlfn.XLOOKUP(C32,tblRisposte[idValutazione],tblRisposte[Valore],""),"")</f>
        <v/>
      </c>
      <c r="F32" t="s">
        <v>735</v>
      </c>
      <c r="H32" t="str" cm="1">
        <f t="array" ref="H32">_xlfn.LET(_xlpm.v,_xlfn.XLOOKUP(G32,tblValutazioni[TipoValutazione],tblValutazioni[MB],""),IF(_xlpm.v="","",_xlpm.v))</f>
        <v/>
      </c>
      <c r="I32" s="18">
        <f>IF(_xlfn.XLOOKUP($A32, tblRisposte[ItemKey],tblRisposte[Valore],"")="Molto bene","X",0)</f>
        <v>0</v>
      </c>
      <c r="J32" s="1">
        <f t="shared" si="1"/>
        <v>0</v>
      </c>
      <c r="K32" s="2" t="str" cm="1">
        <f t="array" ref="K32">_xlfn.LET(_xlpm.v,_xlfn.XLOOKUP(G32,tblValutazioni[TipoValutazione],tblValutazioni[BE],""),IF(_xlpm.v="","",_xlpm.v))</f>
        <v/>
      </c>
      <c r="L32" s="18">
        <f>IF(_xlfn.XLOOKUP($A32, tblRisposte[ItemKey], tblRisposte[Valore], "")="Bene","X",0)</f>
        <v>0</v>
      </c>
      <c r="M32" s="1">
        <f t="shared" si="2"/>
        <v>0</v>
      </c>
      <c r="N32" s="2" t="str" cm="1">
        <f t="array" ref="N32">_xlfn.LET(_xlpm.v,_xlfn.XLOOKUP(G32,tblValutazioni[TipoValutazione],tblValutazioni[SU],""),IF(_xlpm.v="","",_xlpm.v))</f>
        <v/>
      </c>
      <c r="O32" s="18">
        <f>IF(_xlfn.XLOOKUP($A32, tblRisposte[ItemKey], tblRisposte[Valore], "")="Soddisfacente","X",0)</f>
        <v>0</v>
      </c>
      <c r="P32" s="1">
        <f t="shared" si="3"/>
        <v>0</v>
      </c>
      <c r="Q32" s="2" t="str" cm="1">
        <f t="array" ref="Q32">_xlfn.LET(_xlpm.v,_xlfn.XLOOKUP(G32,tblValutazioni[TipoValutazione],tblValutazioni[IN],""),IF(_xlpm.v="","",_xlpm.v))</f>
        <v/>
      </c>
      <c r="R32" s="18">
        <f>IF(_xlfn.XLOOKUP($A32, tblRisposte[ItemKey], tblRisposte[Valore], "")="Insufficiente","X",0)</f>
        <v>0</v>
      </c>
      <c r="S32" s="1">
        <f t="shared" si="4"/>
        <v>0</v>
      </c>
      <c r="T32" s="2" t="str" cm="1">
        <f t="array" ref="T32">_xlfn.LET(_xlpm.v,_xlfn.XLOOKUP(G32,tblValutazioni[TipoValutazione],tblValutazioni[NE],""),IF(_xlpm.v="","",_xlpm.v))</f>
        <v/>
      </c>
      <c r="U32" s="18">
        <f>IF(_xlfn.XLOOKUP($A32, tblRisposte[ItemKey], tblRisposte[Valore], "")="Non eseguito","X",0)</f>
        <v>0</v>
      </c>
      <c r="V32" s="1">
        <f t="shared" si="5"/>
        <v>0</v>
      </c>
      <c r="W32">
        <f t="shared" si="6"/>
        <v>0</v>
      </c>
      <c r="X32" t="str">
        <f>IF(COUNTIF(I32:U32,"X")=1,"OK","errore")</f>
        <v>errore</v>
      </c>
      <c r="Y32" t="str">
        <f>IF(B32="SEP",IF(I32="x",H32,IF(L32="X",K32,IF(O32="x",N32,IF(R32="X",Q32,IF(U32="X",T32,""))))),"")</f>
        <v/>
      </c>
    </row>
    <row r="33" spans="1:25" ht="15" customHeight="1">
      <c r="A33" t="str">
        <f>IF(G33&lt;&gt;"",ScenaAttiva&amp;"_"&amp;AB$4&amp;TEXT(COUNTIF($G$3:G33,"&lt;&gt;"),"0000"),"")</f>
        <v/>
      </c>
      <c r="B33" t="str">
        <f>IF(A33&lt;&gt;"",SquadraAttiva,"")</f>
        <v/>
      </c>
      <c r="C33" t="str">
        <f t="shared" si="7"/>
        <v/>
      </c>
      <c r="D33" t="str">
        <f>IFERROR(_xlfn.XLOOKUP(C33,tblRisposte[idValutazione],tblRisposte[Valore],""),"")</f>
        <v/>
      </c>
      <c r="F33" t="s">
        <v>736</v>
      </c>
      <c r="H33" t="str" cm="1">
        <f t="array" ref="H33">_xlfn.LET(_xlpm.v,_xlfn.XLOOKUP(G33,tblValutazioni[TipoValutazione],tblValutazioni[MB],""),IF(_xlpm.v="","",_xlpm.v))</f>
        <v/>
      </c>
      <c r="I33" s="18">
        <f>IF(_xlfn.XLOOKUP($A33, tblRisposte[ItemKey],tblRisposte[Valore],"")="Molto bene","X",0)</f>
        <v>0</v>
      </c>
      <c r="J33" s="1">
        <f t="shared" si="1"/>
        <v>0</v>
      </c>
      <c r="K33" s="2" t="str" cm="1">
        <f t="array" ref="K33">_xlfn.LET(_xlpm.v,_xlfn.XLOOKUP(G33,tblValutazioni[TipoValutazione],tblValutazioni[BE],""),IF(_xlpm.v="","",_xlpm.v))</f>
        <v/>
      </c>
      <c r="L33" s="18">
        <f>IF(_xlfn.XLOOKUP($A33, tblRisposte[ItemKey], tblRisposte[Valore], "")="Bene","X",0)</f>
        <v>0</v>
      </c>
      <c r="M33" s="1">
        <f t="shared" si="2"/>
        <v>0</v>
      </c>
      <c r="N33" s="2" t="str" cm="1">
        <f t="array" ref="N33">_xlfn.LET(_xlpm.v,_xlfn.XLOOKUP(G33,tblValutazioni[TipoValutazione],tblValutazioni[SU],""),IF(_xlpm.v="","",_xlpm.v))</f>
        <v/>
      </c>
      <c r="O33" s="18">
        <f>IF(_xlfn.XLOOKUP($A33, tblRisposte[ItemKey], tblRisposte[Valore], "")="Soddisfacente","X",0)</f>
        <v>0</v>
      </c>
      <c r="P33" s="1">
        <f t="shared" si="3"/>
        <v>0</v>
      </c>
      <c r="Q33" s="2" t="str" cm="1">
        <f t="array" ref="Q33">_xlfn.LET(_xlpm.v,_xlfn.XLOOKUP(G33,tblValutazioni[TipoValutazione],tblValutazioni[IN],""),IF(_xlpm.v="","",_xlpm.v))</f>
        <v/>
      </c>
      <c r="R33" s="18">
        <f>IF(_xlfn.XLOOKUP($A33, tblRisposte[ItemKey], tblRisposte[Valore], "")="Insufficiente","X",0)</f>
        <v>0</v>
      </c>
      <c r="S33" s="1">
        <f t="shared" si="4"/>
        <v>0</v>
      </c>
      <c r="T33" s="2" t="str" cm="1">
        <f t="array" ref="T33">_xlfn.LET(_xlpm.v,_xlfn.XLOOKUP(G33,tblValutazioni[TipoValutazione],tblValutazioni[NE],""),IF(_xlpm.v="","",_xlpm.v))</f>
        <v/>
      </c>
      <c r="U33" s="18">
        <f>IF(_xlfn.XLOOKUP($A33, tblRisposte[ItemKey], tblRisposte[Valore], "")="Non eseguito","X",0)</f>
        <v>0</v>
      </c>
      <c r="V33" s="1">
        <f t="shared" si="5"/>
        <v>0</v>
      </c>
      <c r="W33">
        <f t="shared" si="6"/>
        <v>0</v>
      </c>
      <c r="X33" t="str">
        <f>IF(COUNTIF(I33:U33,"X")=1,"OK","errore")</f>
        <v>errore</v>
      </c>
      <c r="Y33" t="str">
        <f>IF(B33="SEP",IF(I33="x",H33,IF(L33="X",K33,IF(O33="x",N33,IF(R33="X",Q33,IF(U33="X",T33,""))))),"")</f>
        <v/>
      </c>
    </row>
    <row r="34" spans="1:25" ht="15" customHeight="1">
      <c r="A34" t="str">
        <f>IF(G34&lt;&gt;"",ScenaAttiva&amp;"_"&amp;AB$4&amp;TEXT(COUNTIF($G$3:G34,"&lt;&gt;"),"0000"),"")</f>
        <v/>
      </c>
      <c r="B34" t="str">
        <f>IF(A34&lt;&gt;"",SquadraAttiva,"")</f>
        <v/>
      </c>
      <c r="C34" t="str">
        <f t="shared" si="7"/>
        <v/>
      </c>
      <c r="D34" t="str">
        <f>IFERROR(_xlfn.XLOOKUP(C34,tblRisposte[idValutazione],tblRisposte[Valore],""),"")</f>
        <v/>
      </c>
      <c r="F34" t="s">
        <v>737</v>
      </c>
      <c r="H34" t="str" cm="1">
        <f t="array" ref="H34">_xlfn.LET(_xlpm.v,_xlfn.XLOOKUP(G34,tblValutazioni[TipoValutazione],tblValutazioni[MB],""),IF(_xlpm.v="","",_xlpm.v))</f>
        <v/>
      </c>
      <c r="I34" s="18">
        <f>IF(_xlfn.XLOOKUP($A34, tblRisposte[ItemKey],tblRisposte[Valore],"")="Molto bene","X",0)</f>
        <v>0</v>
      </c>
      <c r="J34" s="1">
        <f t="shared" si="1"/>
        <v>0</v>
      </c>
      <c r="K34" s="2" t="str" cm="1">
        <f t="array" ref="K34">_xlfn.LET(_xlpm.v,_xlfn.XLOOKUP(G34,tblValutazioni[TipoValutazione],tblValutazioni[BE],""),IF(_xlpm.v="","",_xlpm.v))</f>
        <v/>
      </c>
      <c r="L34" s="18">
        <f>IF(_xlfn.XLOOKUP($A34, tblRisposte[ItemKey], tblRisposte[Valore], "")="Bene","X",0)</f>
        <v>0</v>
      </c>
      <c r="M34" s="1">
        <f t="shared" si="2"/>
        <v>0</v>
      </c>
      <c r="N34" s="2" t="str" cm="1">
        <f t="array" ref="N34">_xlfn.LET(_xlpm.v,_xlfn.XLOOKUP(G34,tblValutazioni[TipoValutazione],tblValutazioni[SU],""),IF(_xlpm.v="","",_xlpm.v))</f>
        <v/>
      </c>
      <c r="O34" s="18">
        <f>IF(_xlfn.XLOOKUP($A34, tblRisposte[ItemKey], tblRisposte[Valore], "")="Soddisfacente","X",0)</f>
        <v>0</v>
      </c>
      <c r="P34" s="1">
        <f t="shared" si="3"/>
        <v>0</v>
      </c>
      <c r="Q34" s="2" t="str" cm="1">
        <f t="array" ref="Q34">_xlfn.LET(_xlpm.v,_xlfn.XLOOKUP(G34,tblValutazioni[TipoValutazione],tblValutazioni[IN],""),IF(_xlpm.v="","",_xlpm.v))</f>
        <v/>
      </c>
      <c r="R34" s="18">
        <f>IF(_xlfn.XLOOKUP($A34, tblRisposte[ItemKey], tblRisposte[Valore], "")="Insufficiente","X",0)</f>
        <v>0</v>
      </c>
      <c r="S34" s="1">
        <f t="shared" si="4"/>
        <v>0</v>
      </c>
      <c r="T34" s="2" t="str" cm="1">
        <f t="array" ref="T34">_xlfn.LET(_xlpm.v,_xlfn.XLOOKUP(G34,tblValutazioni[TipoValutazione],tblValutazioni[NE],""),IF(_xlpm.v="","",_xlpm.v))</f>
        <v/>
      </c>
      <c r="U34" s="18">
        <f>IF(_xlfn.XLOOKUP($A34, tblRisposte[ItemKey], tblRisposte[Valore], "")="Non eseguito","X",0)</f>
        <v>0</v>
      </c>
      <c r="V34" s="1">
        <f t="shared" si="5"/>
        <v>0</v>
      </c>
      <c r="W34">
        <f t="shared" si="6"/>
        <v>0</v>
      </c>
      <c r="X34" t="str">
        <f>IF(COUNTIF(I34:U34,"X")=1,"OK","errore")</f>
        <v>errore</v>
      </c>
      <c r="Y34" t="str">
        <f>IF(B34="SEP",IF(I34="x",H34,IF(L34="X",K34,IF(O34="x",N34,IF(R34="X",Q34,IF(U34="X",T34,""))))),"")</f>
        <v/>
      </c>
    </row>
    <row r="35" spans="1:25" ht="15" customHeight="1">
      <c r="A35" t="str">
        <f>IF(G35&lt;&gt;"",ScenaAttiva&amp;"_"&amp;AB$4&amp;TEXT(COUNTIF($G$3:G35,"&lt;&gt;"),"0000"),"")</f>
        <v/>
      </c>
      <c r="B35" t="str">
        <f>IF(A35&lt;&gt;"",SquadraAttiva,"")</f>
        <v/>
      </c>
      <c r="C35" t="str">
        <f t="shared" si="7"/>
        <v/>
      </c>
      <c r="D35" t="str">
        <f>IFERROR(_xlfn.XLOOKUP(C35,tblRisposte[idValutazione],tblRisposte[Valore],""),"")</f>
        <v/>
      </c>
      <c r="F35" t="s">
        <v>738</v>
      </c>
      <c r="H35" t="str" cm="1">
        <f t="array" ref="H35">_xlfn.LET(_xlpm.v,_xlfn.XLOOKUP(G35,tblValutazioni[TipoValutazione],tblValutazioni[MB],""),IF(_xlpm.v="","",_xlpm.v))</f>
        <v/>
      </c>
      <c r="I35" s="18">
        <f>IF(_xlfn.XLOOKUP($A35, tblRisposte[ItemKey],tblRisposte[Valore],"")="Molto bene","X",0)</f>
        <v>0</v>
      </c>
      <c r="J35" s="1">
        <f t="shared" si="1"/>
        <v>0</v>
      </c>
      <c r="K35" s="2" t="str" cm="1">
        <f t="array" ref="K35">_xlfn.LET(_xlpm.v,_xlfn.XLOOKUP(G35,tblValutazioni[TipoValutazione],tblValutazioni[BE],""),IF(_xlpm.v="","",_xlpm.v))</f>
        <v/>
      </c>
      <c r="L35" s="18">
        <f>IF(_xlfn.XLOOKUP($A35, tblRisposte[ItemKey], tblRisposte[Valore], "")="Bene","X",0)</f>
        <v>0</v>
      </c>
      <c r="M35" s="1">
        <f t="shared" si="2"/>
        <v>0</v>
      </c>
      <c r="N35" s="2" t="str" cm="1">
        <f t="array" ref="N35">_xlfn.LET(_xlpm.v,_xlfn.XLOOKUP(G35,tblValutazioni[TipoValutazione],tblValutazioni[SU],""),IF(_xlpm.v="","",_xlpm.v))</f>
        <v/>
      </c>
      <c r="O35" s="18">
        <f>IF(_xlfn.XLOOKUP($A35, tblRisposte[ItemKey], tblRisposte[Valore], "")="Soddisfacente","X",0)</f>
        <v>0</v>
      </c>
      <c r="P35" s="1">
        <f t="shared" si="3"/>
        <v>0</v>
      </c>
      <c r="Q35" s="2" t="str" cm="1">
        <f t="array" ref="Q35">_xlfn.LET(_xlpm.v,_xlfn.XLOOKUP(G35,tblValutazioni[TipoValutazione],tblValutazioni[IN],""),IF(_xlpm.v="","",_xlpm.v))</f>
        <v/>
      </c>
      <c r="R35" s="18">
        <f>IF(_xlfn.XLOOKUP($A35, tblRisposte[ItemKey], tblRisposte[Valore], "")="Insufficiente","X",0)</f>
        <v>0</v>
      </c>
      <c r="S35" s="1">
        <f t="shared" si="4"/>
        <v>0</v>
      </c>
      <c r="T35" s="2" t="str" cm="1">
        <f t="array" ref="T35">_xlfn.LET(_xlpm.v,_xlfn.XLOOKUP(G35,tblValutazioni[TipoValutazione],tblValutazioni[NE],""),IF(_xlpm.v="","",_xlpm.v))</f>
        <v/>
      </c>
      <c r="U35" s="18">
        <f>IF(_xlfn.XLOOKUP($A35, tblRisposte[ItemKey], tblRisposte[Valore], "")="Non eseguito","X",0)</f>
        <v>0</v>
      </c>
      <c r="V35" s="1">
        <f t="shared" si="5"/>
        <v>0</v>
      </c>
      <c r="W35">
        <f t="shared" si="6"/>
        <v>0</v>
      </c>
      <c r="X35" t="str">
        <f>IF(COUNTIF(I35:U35,"X")=1,"OK","errore")</f>
        <v>errore</v>
      </c>
      <c r="Y35" t="str">
        <f>IF(B35="SEP",IF(I35="x",H35,IF(L35="X",K35,IF(O35="x",N35,IF(R35="X",Q35,IF(U35="X",T35,""))))),"")</f>
        <v/>
      </c>
    </row>
    <row r="36" spans="1:25" ht="15" customHeight="1">
      <c r="A36" t="str">
        <f>IF(G36&lt;&gt;"",ScenaAttiva&amp;"_"&amp;AB$4&amp;TEXT(COUNTIF($G$3:G36,"&lt;&gt;"),"0000"),"")</f>
        <v/>
      </c>
      <c r="B36" t="str">
        <f>IF(A36&lt;&gt;"",SquadraAttiva,"")</f>
        <v/>
      </c>
      <c r="C36" t="str">
        <f t="shared" si="7"/>
        <v/>
      </c>
      <c r="D36" t="str">
        <f>IFERROR(_xlfn.XLOOKUP(C36,tblRisposte[idValutazione],tblRisposte[Valore],""),"")</f>
        <v/>
      </c>
      <c r="F36" t="s">
        <v>739</v>
      </c>
      <c r="H36" t="str" cm="1">
        <f t="array" ref="H36">_xlfn.LET(_xlpm.v,_xlfn.XLOOKUP(G36,tblValutazioni[TipoValutazione],tblValutazioni[MB],""),IF(_xlpm.v="","",_xlpm.v))</f>
        <v/>
      </c>
      <c r="I36" s="18">
        <f>IF(_xlfn.XLOOKUP($A36, tblRisposte[ItemKey],tblRisposte[Valore],"")="Molto bene","X",0)</f>
        <v>0</v>
      </c>
      <c r="J36" s="1">
        <f t="shared" si="1"/>
        <v>0</v>
      </c>
      <c r="K36" s="2" t="str" cm="1">
        <f t="array" ref="K36">_xlfn.LET(_xlpm.v,_xlfn.XLOOKUP(G36,tblValutazioni[TipoValutazione],tblValutazioni[BE],""),IF(_xlpm.v="","",_xlpm.v))</f>
        <v/>
      </c>
      <c r="L36" s="18">
        <f>IF(_xlfn.XLOOKUP($A36, tblRisposte[ItemKey], tblRisposte[Valore], "")="Bene","X",0)</f>
        <v>0</v>
      </c>
      <c r="M36" s="1">
        <f t="shared" si="2"/>
        <v>0</v>
      </c>
      <c r="N36" s="2" t="str" cm="1">
        <f t="array" ref="N36">_xlfn.LET(_xlpm.v,_xlfn.XLOOKUP(G36,tblValutazioni[TipoValutazione],tblValutazioni[SU],""),IF(_xlpm.v="","",_xlpm.v))</f>
        <v/>
      </c>
      <c r="O36" s="18">
        <f>IF(_xlfn.XLOOKUP($A36, tblRisposte[ItemKey], tblRisposte[Valore], "")="Soddisfacente","X",0)</f>
        <v>0</v>
      </c>
      <c r="P36" s="1">
        <f t="shared" si="3"/>
        <v>0</v>
      </c>
      <c r="Q36" s="2" t="str" cm="1">
        <f t="array" ref="Q36">_xlfn.LET(_xlpm.v,_xlfn.XLOOKUP(G36,tblValutazioni[TipoValutazione],tblValutazioni[IN],""),IF(_xlpm.v="","",_xlpm.v))</f>
        <v/>
      </c>
      <c r="R36" s="18">
        <f>IF(_xlfn.XLOOKUP($A36, tblRisposte[ItemKey], tblRisposte[Valore], "")="Insufficiente","X",0)</f>
        <v>0</v>
      </c>
      <c r="S36" s="1">
        <f t="shared" si="4"/>
        <v>0</v>
      </c>
      <c r="T36" s="2" t="str" cm="1">
        <f t="array" ref="T36">_xlfn.LET(_xlpm.v,_xlfn.XLOOKUP(G36,tblValutazioni[TipoValutazione],tblValutazioni[NE],""),IF(_xlpm.v="","",_xlpm.v))</f>
        <v/>
      </c>
      <c r="U36" s="18">
        <f>IF(_xlfn.XLOOKUP($A36, tblRisposte[ItemKey], tblRisposte[Valore], "")="Non eseguito","X",0)</f>
        <v>0</v>
      </c>
      <c r="V36" s="1">
        <f t="shared" si="5"/>
        <v>0</v>
      </c>
      <c r="W36">
        <f t="shared" si="6"/>
        <v>0</v>
      </c>
      <c r="X36" t="str">
        <f>IF(COUNTIF(I36:U36,"X")=1,"OK","errore")</f>
        <v>errore</v>
      </c>
      <c r="Y36" t="str">
        <f>IF(B36="SEP",IF(I36="x",H36,IF(L36="X",K36,IF(O36="x",N36,IF(R36="X",Q36,IF(U36="X",T36,""))))),"")</f>
        <v/>
      </c>
    </row>
    <row r="37" spans="1:25" ht="15" customHeight="1">
      <c r="A37" t="str">
        <f>IF(G37&lt;&gt;"",ScenaAttiva&amp;"_"&amp;AB$4&amp;TEXT(COUNTIF($G$3:G37,"&lt;&gt;"),"0000"),"")</f>
        <v/>
      </c>
      <c r="B37" t="str">
        <f>IF(A37&lt;&gt;"",SquadraAttiva,"")</f>
        <v/>
      </c>
      <c r="C37" t="str">
        <f t="shared" si="7"/>
        <v/>
      </c>
      <c r="D37" t="str">
        <f>IFERROR(_xlfn.XLOOKUP(C37,tblRisposte[idValutazione],tblRisposte[Valore],""),"")</f>
        <v/>
      </c>
      <c r="F37" t="s">
        <v>740</v>
      </c>
      <c r="H37" t="str" cm="1">
        <f t="array" ref="H37">_xlfn.LET(_xlpm.v,_xlfn.XLOOKUP(G37,tblValutazioni[TipoValutazione],tblValutazioni[MB],""),IF(_xlpm.v="","",_xlpm.v))</f>
        <v/>
      </c>
      <c r="I37" s="18">
        <f>IF(_xlfn.XLOOKUP($A37, tblRisposte[ItemKey],tblRisposte[Valore],"")="Molto bene","X",0)</f>
        <v>0</v>
      </c>
      <c r="J37" s="1">
        <f t="shared" si="1"/>
        <v>0</v>
      </c>
      <c r="K37" s="2" t="str" cm="1">
        <f t="array" ref="K37">_xlfn.LET(_xlpm.v,_xlfn.XLOOKUP(G37,tblValutazioni[TipoValutazione],tblValutazioni[BE],""),IF(_xlpm.v="","",_xlpm.v))</f>
        <v/>
      </c>
      <c r="L37" s="18">
        <f>IF(_xlfn.XLOOKUP($A37, tblRisposte[ItemKey], tblRisposte[Valore], "")="Bene","X",0)</f>
        <v>0</v>
      </c>
      <c r="M37" s="1">
        <f t="shared" si="2"/>
        <v>0</v>
      </c>
      <c r="N37" s="2" t="str" cm="1">
        <f t="array" ref="N37">_xlfn.LET(_xlpm.v,_xlfn.XLOOKUP(G37,tblValutazioni[TipoValutazione],tblValutazioni[SU],""),IF(_xlpm.v="","",_xlpm.v))</f>
        <v/>
      </c>
      <c r="O37" s="18">
        <f>IF(_xlfn.XLOOKUP($A37, tblRisposte[ItemKey], tblRisposte[Valore], "")="Soddisfacente","X",0)</f>
        <v>0</v>
      </c>
      <c r="P37" s="1">
        <f t="shared" si="3"/>
        <v>0</v>
      </c>
      <c r="Q37" s="2" t="str" cm="1">
        <f t="array" ref="Q37">_xlfn.LET(_xlpm.v,_xlfn.XLOOKUP(G37,tblValutazioni[TipoValutazione],tblValutazioni[IN],""),IF(_xlpm.v="","",_xlpm.v))</f>
        <v/>
      </c>
      <c r="R37" s="18">
        <f>IF(_xlfn.XLOOKUP($A37, tblRisposte[ItemKey], tblRisposte[Valore], "")="Insufficiente","X",0)</f>
        <v>0</v>
      </c>
      <c r="S37" s="1">
        <f t="shared" si="4"/>
        <v>0</v>
      </c>
      <c r="T37" s="2" t="str" cm="1">
        <f t="array" ref="T37">_xlfn.LET(_xlpm.v,_xlfn.XLOOKUP(G37,tblValutazioni[TipoValutazione],tblValutazioni[NE],""),IF(_xlpm.v="","",_xlpm.v))</f>
        <v/>
      </c>
      <c r="U37" s="18">
        <f>IF(_xlfn.XLOOKUP($A37, tblRisposte[ItemKey], tblRisposte[Valore], "")="Non eseguito","X",0)</f>
        <v>0</v>
      </c>
      <c r="V37" s="1">
        <f t="shared" si="5"/>
        <v>0</v>
      </c>
      <c r="W37">
        <f t="shared" si="6"/>
        <v>0</v>
      </c>
      <c r="X37" t="str">
        <f>IF(COUNTIF(I37:U37,"X")=1,"OK","errore")</f>
        <v>errore</v>
      </c>
      <c r="Y37" t="str">
        <f>IF(B37="SEP",IF(I37="x",H37,IF(L37="X",K37,IF(O37="x",N37,IF(R37="X",Q37,IF(U37="X",T37,""))))),"")</f>
        <v/>
      </c>
    </row>
    <row r="38" spans="1:25" ht="15" customHeight="1">
      <c r="A38" t="str">
        <f>IF(G38&lt;&gt;"",ScenaAttiva&amp;"_"&amp;AB$4&amp;TEXT(COUNTIF($G$3:G38,"&lt;&gt;"),"0000"),"")</f>
        <v/>
      </c>
      <c r="B38" t="str">
        <f>IF(A38&lt;&gt;"",SquadraAttiva,"")</f>
        <v/>
      </c>
      <c r="C38" t="str">
        <f t="shared" si="7"/>
        <v/>
      </c>
      <c r="D38" t="str">
        <f>IFERROR(_xlfn.XLOOKUP(C38,tblRisposte[idValutazione],tblRisposte[Valore],""),"")</f>
        <v/>
      </c>
      <c r="F38" t="s">
        <v>741</v>
      </c>
      <c r="H38" t="str" cm="1">
        <f t="array" ref="H38">_xlfn.LET(_xlpm.v,_xlfn.XLOOKUP(G38,tblValutazioni[TipoValutazione],tblValutazioni[MB],""),IF(_xlpm.v="","",_xlpm.v))</f>
        <v/>
      </c>
      <c r="I38" s="18">
        <f>IF(_xlfn.XLOOKUP($A38, tblRisposte[ItemKey],tblRisposte[Valore],"")="Molto bene","X",0)</f>
        <v>0</v>
      </c>
      <c r="J38" s="1">
        <f t="shared" si="1"/>
        <v>0</v>
      </c>
      <c r="K38" s="2" t="str" cm="1">
        <f t="array" ref="K38">_xlfn.LET(_xlpm.v,_xlfn.XLOOKUP(G38,tblValutazioni[TipoValutazione],tblValutazioni[BE],""),IF(_xlpm.v="","",_xlpm.v))</f>
        <v/>
      </c>
      <c r="L38" s="18">
        <f>IF(_xlfn.XLOOKUP($A38, tblRisposte[ItemKey], tblRisposte[Valore], "")="Bene","X",0)</f>
        <v>0</v>
      </c>
      <c r="M38" s="1">
        <f t="shared" si="2"/>
        <v>0</v>
      </c>
      <c r="N38" s="2" t="str" cm="1">
        <f t="array" ref="N38">_xlfn.LET(_xlpm.v,_xlfn.XLOOKUP(G38,tblValutazioni[TipoValutazione],tblValutazioni[SU],""),IF(_xlpm.v="","",_xlpm.v))</f>
        <v/>
      </c>
      <c r="O38" s="18">
        <f>IF(_xlfn.XLOOKUP($A38, tblRisposte[ItemKey], tblRisposte[Valore], "")="Soddisfacente","X",0)</f>
        <v>0</v>
      </c>
      <c r="P38" s="1">
        <f t="shared" si="3"/>
        <v>0</v>
      </c>
      <c r="Q38" s="2" t="str" cm="1">
        <f t="array" ref="Q38">_xlfn.LET(_xlpm.v,_xlfn.XLOOKUP(G38,tblValutazioni[TipoValutazione],tblValutazioni[IN],""),IF(_xlpm.v="","",_xlpm.v))</f>
        <v/>
      </c>
      <c r="R38" s="18">
        <f>IF(_xlfn.XLOOKUP($A38, tblRisposte[ItemKey], tblRisposte[Valore], "")="Insufficiente","X",0)</f>
        <v>0</v>
      </c>
      <c r="S38" s="1">
        <f t="shared" si="4"/>
        <v>0</v>
      </c>
      <c r="T38" s="2" t="str" cm="1">
        <f t="array" ref="T38">_xlfn.LET(_xlpm.v,_xlfn.XLOOKUP(G38,tblValutazioni[TipoValutazione],tblValutazioni[NE],""),IF(_xlpm.v="","",_xlpm.v))</f>
        <v/>
      </c>
      <c r="U38" s="18">
        <f>IF(_xlfn.XLOOKUP($A38, tblRisposte[ItemKey], tblRisposte[Valore], "")="Non eseguito","X",0)</f>
        <v>0</v>
      </c>
      <c r="V38" s="1">
        <f t="shared" si="5"/>
        <v>0</v>
      </c>
      <c r="W38">
        <f t="shared" si="6"/>
        <v>0</v>
      </c>
      <c r="X38" t="str">
        <f>IF(COUNTIF(I38:U38,"X")=1,"OK","errore")</f>
        <v>errore</v>
      </c>
      <c r="Y38" t="str">
        <f>IF(B38="SEP",IF(I38="x",H38,IF(L38="X",K38,IF(O38="x",N38,IF(R38="X",Q38,IF(U38="X",T38,""))))),"")</f>
        <v/>
      </c>
    </row>
    <row r="39" spans="1:25" ht="15" customHeight="1">
      <c r="A39" t="str">
        <f>IF(G39&lt;&gt;"",ScenaAttiva&amp;"_"&amp;AB$4&amp;TEXT(COUNTIF($G$3:G39,"&lt;&gt;"),"0000"),"")</f>
        <v/>
      </c>
      <c r="B39" t="str">
        <f>IF(A39&lt;&gt;"",SquadraAttiva,"")</f>
        <v/>
      </c>
      <c r="C39" t="str">
        <f t="shared" si="7"/>
        <v/>
      </c>
      <c r="D39" t="str">
        <f>IFERROR(_xlfn.XLOOKUP(C39,tblRisposte[idValutazione],tblRisposte[Valore],""),"")</f>
        <v/>
      </c>
      <c r="F39" t="s">
        <v>722</v>
      </c>
      <c r="H39" t="str" cm="1">
        <f t="array" ref="H39">_xlfn.LET(_xlpm.v,_xlfn.XLOOKUP(G39,tblValutazioni[TipoValutazione],tblValutazioni[MB],""),IF(_xlpm.v="","",_xlpm.v))</f>
        <v/>
      </c>
      <c r="I39" s="18">
        <f>IF(_xlfn.XLOOKUP($A39, tblRisposte[ItemKey],tblRisposte[Valore],"")="Molto bene","X",0)</f>
        <v>0</v>
      </c>
      <c r="J39" s="1">
        <f t="shared" si="1"/>
        <v>0</v>
      </c>
      <c r="K39" s="2" t="str" cm="1">
        <f t="array" ref="K39">_xlfn.LET(_xlpm.v,_xlfn.XLOOKUP(G39,tblValutazioni[TipoValutazione],tblValutazioni[BE],""),IF(_xlpm.v="","",_xlpm.v))</f>
        <v/>
      </c>
      <c r="L39" s="18">
        <f>IF(_xlfn.XLOOKUP($A39, tblRisposte[ItemKey], tblRisposte[Valore], "")="Bene","X",0)</f>
        <v>0</v>
      </c>
      <c r="M39" s="1">
        <f t="shared" si="2"/>
        <v>0</v>
      </c>
      <c r="N39" s="2" t="str" cm="1">
        <f t="array" ref="N39">_xlfn.LET(_xlpm.v,_xlfn.XLOOKUP(G39,tblValutazioni[TipoValutazione],tblValutazioni[SU],""),IF(_xlpm.v="","",_xlpm.v))</f>
        <v/>
      </c>
      <c r="O39" s="18">
        <f>IF(_xlfn.XLOOKUP($A39, tblRisposte[ItemKey], tblRisposte[Valore], "")="Soddisfacente","X",0)</f>
        <v>0</v>
      </c>
      <c r="P39" s="1">
        <f t="shared" si="3"/>
        <v>0</v>
      </c>
      <c r="Q39" s="2" t="str" cm="1">
        <f t="array" ref="Q39">_xlfn.LET(_xlpm.v,_xlfn.XLOOKUP(G39,tblValutazioni[TipoValutazione],tblValutazioni[IN],""),IF(_xlpm.v="","",_xlpm.v))</f>
        <v/>
      </c>
      <c r="R39" s="18">
        <f>IF(_xlfn.XLOOKUP($A39, tblRisposte[ItemKey], tblRisposte[Valore], "")="Insufficiente","X",0)</f>
        <v>0</v>
      </c>
      <c r="S39" s="1">
        <f t="shared" si="4"/>
        <v>0</v>
      </c>
      <c r="T39" s="2" t="str" cm="1">
        <f t="array" ref="T39">_xlfn.LET(_xlpm.v,_xlfn.XLOOKUP(G39,tblValutazioni[TipoValutazione],tblValutazioni[NE],""),IF(_xlpm.v="","",_xlpm.v))</f>
        <v/>
      </c>
      <c r="U39" s="18">
        <f>IF(_xlfn.XLOOKUP($A39, tblRisposte[ItemKey], tblRisposte[Valore], "")="Non eseguito","X",0)</f>
        <v>0</v>
      </c>
      <c r="V39" s="1">
        <f t="shared" si="5"/>
        <v>0</v>
      </c>
      <c r="W39">
        <f t="shared" si="6"/>
        <v>0</v>
      </c>
      <c r="X39" t="str">
        <f>IF(COUNTIF(I39:U39,"X")=1,"OK","errore")</f>
        <v>errore</v>
      </c>
      <c r="Y39" t="str">
        <f>IF(B39="SEP",IF(I39="x",H39,IF(L39="X",K39,IF(O39="x",N39,IF(R39="X",Q39,IF(U39="X",T39,""))))),"")</f>
        <v/>
      </c>
    </row>
    <row r="40" spans="1:25">
      <c r="A40" t="str">
        <f>IF(G40&lt;&gt;"",ScenaAttiva&amp;"_"&amp;AB$4&amp;TEXT(COUNTIF($G$3:G40,"&lt;&gt;"),"0000"),"")</f>
        <v/>
      </c>
      <c r="B40" t="str">
        <f>IF(A40&lt;&gt;"",SquadraAttiva,"")</f>
        <v/>
      </c>
      <c r="C40" t="str">
        <f t="shared" si="7"/>
        <v/>
      </c>
      <c r="D40" t="str">
        <f>IFERROR(_xlfn.XLOOKUP(C40,tblRisposte[idValutazione],tblRisposte[Valore],""),"")</f>
        <v/>
      </c>
      <c r="F40" t="s">
        <v>723</v>
      </c>
      <c r="H40" t="str" cm="1">
        <f t="array" ref="H40">_xlfn.LET(_xlpm.v,_xlfn.XLOOKUP(G40,tblValutazioni[TipoValutazione],tblValutazioni[MB],""),IF(_xlpm.v="","",_xlpm.v))</f>
        <v/>
      </c>
      <c r="I40" s="18">
        <f>IF(_xlfn.XLOOKUP($A40, tblRisposte[ItemKey],tblRisposte[Valore],"")="Molto bene","X",0)</f>
        <v>0</v>
      </c>
      <c r="J40" s="1">
        <f t="shared" si="1"/>
        <v>0</v>
      </c>
      <c r="K40" s="2" t="str" cm="1">
        <f t="array" ref="K40">_xlfn.LET(_xlpm.v,_xlfn.XLOOKUP(G40,tblValutazioni[TipoValutazione],tblValutazioni[BE],""),IF(_xlpm.v="","",_xlpm.v))</f>
        <v/>
      </c>
      <c r="L40" s="18">
        <f>IF(_xlfn.XLOOKUP($A40, tblRisposte[ItemKey], tblRisposte[Valore], "")="Bene","X",0)</f>
        <v>0</v>
      </c>
      <c r="M40" s="1">
        <f t="shared" si="2"/>
        <v>0</v>
      </c>
      <c r="N40" s="2" t="str" cm="1">
        <f t="array" ref="N40">_xlfn.LET(_xlpm.v,_xlfn.XLOOKUP(G40,tblValutazioni[TipoValutazione],tblValutazioni[SU],""),IF(_xlpm.v="","",_xlpm.v))</f>
        <v/>
      </c>
      <c r="O40" s="18">
        <f>IF(_xlfn.XLOOKUP($A40, tblRisposte[ItemKey], tblRisposte[Valore], "")="Soddisfacente","X",0)</f>
        <v>0</v>
      </c>
      <c r="P40" s="1">
        <f t="shared" si="3"/>
        <v>0</v>
      </c>
      <c r="Q40" s="2" t="str" cm="1">
        <f t="array" ref="Q40">_xlfn.LET(_xlpm.v,_xlfn.XLOOKUP(G40,tblValutazioni[TipoValutazione],tblValutazioni[IN],""),IF(_xlpm.v="","",_xlpm.v))</f>
        <v/>
      </c>
      <c r="R40" s="18">
        <f>IF(_xlfn.XLOOKUP($A40, tblRisposte[ItemKey], tblRisposte[Valore], "")="Insufficiente","X",0)</f>
        <v>0</v>
      </c>
      <c r="S40" s="1">
        <f t="shared" si="4"/>
        <v>0</v>
      </c>
      <c r="T40" s="2" t="str" cm="1">
        <f t="array" ref="T40">_xlfn.LET(_xlpm.v,_xlfn.XLOOKUP(G40,tblValutazioni[TipoValutazione],tblValutazioni[NE],""),IF(_xlpm.v="","",_xlpm.v))</f>
        <v/>
      </c>
      <c r="U40" s="18">
        <f>IF(_xlfn.XLOOKUP($A40, tblRisposte[ItemKey], tblRisposte[Valore], "")="Non eseguito","X",0)</f>
        <v>0</v>
      </c>
      <c r="V40" s="1">
        <f t="shared" si="5"/>
        <v>0</v>
      </c>
      <c r="W40">
        <f t="shared" si="6"/>
        <v>0</v>
      </c>
      <c r="X40" t="str">
        <f>IF(COUNTIF(I40:U40,"X")=1,"OK","errore")</f>
        <v>errore</v>
      </c>
      <c r="Y40" t="str">
        <f>IF(B40="SEP",IF(I40="x",H40,IF(L40="X",K40,IF(O40="x",N40,IF(R40="X",Q40,IF(U40="X",T40,""))))),"")</f>
        <v/>
      </c>
    </row>
    <row r="41" spans="1:25">
      <c r="A41" s="23"/>
      <c r="B41" s="23" t="str">
        <f>IF(A41&lt;&gt;"",SquadraAttiva,"")</f>
        <v/>
      </c>
      <c r="C41" s="23"/>
      <c r="D41" s="23"/>
      <c r="E41" s="23"/>
      <c r="F41" s="23" t="s">
        <v>728</v>
      </c>
      <c r="G41" s="23"/>
      <c r="H41" s="23"/>
      <c r="I41" s="23">
        <f>SUM(J2:J40)</f>
        <v>0</v>
      </c>
      <c r="J41" s="23"/>
      <c r="K41" s="24"/>
      <c r="L41" s="23">
        <f>SUM(M2:M40)</f>
        <v>0</v>
      </c>
      <c r="M41" s="23"/>
      <c r="N41" s="24"/>
      <c r="O41" s="23">
        <f>SUM(P2:P40)</f>
        <v>0</v>
      </c>
      <c r="P41" s="23"/>
      <c r="Q41" s="24"/>
      <c r="R41" s="23">
        <f>SUM(S2:S40)</f>
        <v>0</v>
      </c>
      <c r="S41" s="23"/>
      <c r="T41" s="24"/>
      <c r="U41" s="23">
        <f>SUM(V2:V40)</f>
        <v>0</v>
      </c>
      <c r="V41" s="23"/>
      <c r="W41" s="23"/>
      <c r="X41" s="23"/>
    </row>
    <row r="42" spans="1:25">
      <c r="A42" s="23"/>
      <c r="B42" s="23"/>
      <c r="C42" s="23"/>
      <c r="D42" s="23"/>
      <c r="E42" s="23"/>
      <c r="F42" s="25" t="s">
        <v>728</v>
      </c>
      <c r="G42" s="25"/>
      <c r="H42" s="25"/>
      <c r="I42" s="25"/>
      <c r="J42" s="25">
        <f>I41+L41+O41+R41+U41</f>
        <v>0</v>
      </c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</row>
    <row r="43" spans="1:25">
      <c r="A43" s="23"/>
      <c r="B43" s="23"/>
      <c r="C43" s="23"/>
      <c r="D43" s="23"/>
      <c r="E43" s="23"/>
      <c r="F43" s="25" t="s">
        <v>653</v>
      </c>
      <c r="G43" s="23"/>
      <c r="H43" s="23"/>
      <c r="I43" s="23"/>
      <c r="J43" s="23">
        <f>SUM(Y3:Y39)</f>
        <v>0</v>
      </c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</row>
  </sheetData>
  <mergeCells count="5">
    <mergeCell ref="K1:M1"/>
    <mergeCell ref="Q1:S1"/>
    <mergeCell ref="T1:V1"/>
    <mergeCell ref="H1:J1"/>
    <mergeCell ref="N1:P1"/>
  </mergeCells>
  <conditionalFormatting sqref="X2">
    <cfRule type="containsText" dxfId="40" priority="3" operator="containsText" text="OK">
      <formula>NOT(ISERROR(SEARCH("OK",X2)))</formula>
    </cfRule>
    <cfRule type="containsText" dxfId="39" priority="4" operator="containsText" text="errore">
      <formula>NOT(ISERROR(SEARCH("errore",X2)))</formula>
    </cfRule>
  </conditionalFormatting>
  <conditionalFormatting sqref="X3:X40">
    <cfRule type="containsText" dxfId="38" priority="1" operator="containsText" text="OK">
      <formula>NOT(ISERROR(SEARCH("OK",X3)))</formula>
    </cfRule>
    <cfRule type="containsText" dxfId="37" priority="2" operator="containsText" text="errore">
      <formula>NOT(ISERROR(SEARCH("errore",X3)))</formula>
    </cfRule>
  </conditionalFormatting>
  <dataValidations count="1">
    <dataValidation type="list" allowBlank="1" showInputMessage="1" showErrorMessage="1" sqref="G3:G40" xr:uid="{9489A075-8541-40B6-A0E0-0476CEADCB40}">
      <formula1>lstTipoValutazione</formula1>
    </dataValidation>
  </dataValidations>
  <pageMargins left="0.7" right="0.7" top="0.75" bottom="0.75" header="0.3" footer="0.3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44"/>
  <sheetViews>
    <sheetView zoomScaleNormal="100" workbookViewId="0">
      <selection activeCell="E24" sqref="E24:E25"/>
    </sheetView>
  </sheetViews>
  <sheetFormatPr defaultColWidth="8.85546875" defaultRowHeight="15" customHeight="1" outlineLevelCol="1"/>
  <cols>
    <col min="1" max="1" width="11.140625" bestFit="1" customWidth="1"/>
    <col min="2" max="3" width="11.140625" customWidth="1"/>
    <col min="6" max="6" width="80.42578125" customWidth="1"/>
    <col min="7" max="7" width="12.85546875" customWidth="1"/>
    <col min="8" max="8" width="4.42578125" customWidth="1" outlineLevel="1"/>
    <col min="9" max="10" width="4.42578125" customWidth="1"/>
    <col min="11" max="11" width="4.42578125" customWidth="1" outlineLevel="1"/>
    <col min="12" max="13" width="4.42578125" customWidth="1"/>
    <col min="14" max="14" width="4.42578125" customWidth="1" outlineLevel="1"/>
    <col min="15" max="16" width="4.42578125" customWidth="1"/>
    <col min="17" max="17" width="4.42578125" customWidth="1" outlineLevel="1"/>
    <col min="18" max="19" width="4.42578125" customWidth="1"/>
    <col min="20" max="20" width="4.42578125" customWidth="1" outlineLevel="1"/>
    <col min="21" max="22" width="4.42578125" customWidth="1"/>
    <col min="23" max="23" width="7.7109375" customWidth="1" outlineLevel="1"/>
    <col min="24" max="24" width="8.85546875" customWidth="1"/>
    <col min="26" max="26" width="12.42578125" customWidth="1"/>
    <col min="27" max="27" width="9.42578125" bestFit="1" customWidth="1"/>
    <col min="28" max="28" width="12.42578125" customWidth="1"/>
    <col min="29" max="29" width="9.42578125" bestFit="1" customWidth="1"/>
    <col min="30" max="30" width="12.42578125" customWidth="1"/>
  </cols>
  <sheetData>
    <row r="1" spans="1:31">
      <c r="B1" t="s">
        <v>705</v>
      </c>
      <c r="C1" t="s">
        <v>706</v>
      </c>
      <c r="D1" t="s">
        <v>707</v>
      </c>
      <c r="E1" t="s">
        <v>653</v>
      </c>
      <c r="H1" s="127" t="s">
        <v>709</v>
      </c>
      <c r="I1" s="144"/>
      <c r="J1" s="145"/>
      <c r="K1" s="126" t="s">
        <v>710</v>
      </c>
      <c r="L1" s="144"/>
      <c r="M1" s="145"/>
      <c r="N1" s="126" t="s">
        <v>711</v>
      </c>
      <c r="O1" s="144"/>
      <c r="P1" s="145"/>
      <c r="Q1" s="126" t="s">
        <v>712</v>
      </c>
      <c r="R1" s="144"/>
      <c r="S1" s="145"/>
      <c r="T1" s="126" t="s">
        <v>713</v>
      </c>
      <c r="U1" s="144"/>
      <c r="V1" s="145"/>
    </row>
    <row r="2" spans="1:31" ht="15" customHeight="1">
      <c r="A2" t="str">
        <f>IF(G2&lt;&gt;"",ScenaAttiva&amp;"_"&amp;AB$4&amp;TEXT(COUNTIF($G2:G$3,"&lt;&gt;"),"0000"),"")</f>
        <v/>
      </c>
      <c r="B2" t="str">
        <f>IF(A2&lt;&gt;"",SquadraAttiva,"")</f>
        <v/>
      </c>
      <c r="C2" t="str">
        <f>IF(A2&lt;&gt;"",TEXT(B2,"0")&amp;"-"&amp;TRIM(A2),"")</f>
        <v/>
      </c>
      <c r="D2" t="str">
        <f>IFERROR(_xlfn.XLOOKUP(C2,tblRisposte[idValutazione],tblRisposte[Valore],""),"")</f>
        <v/>
      </c>
      <c r="F2" s="26" t="s">
        <v>117</v>
      </c>
      <c r="G2" s="26"/>
      <c r="H2" s="26"/>
      <c r="I2" s="27"/>
      <c r="J2" s="28"/>
      <c r="K2" s="29"/>
      <c r="L2" s="27"/>
      <c r="M2" s="28"/>
      <c r="N2" s="29"/>
      <c r="O2" s="27"/>
      <c r="P2" s="28"/>
      <c r="Q2" s="29"/>
      <c r="R2" s="27"/>
      <c r="S2" s="28"/>
      <c r="T2" s="29"/>
      <c r="U2" s="27"/>
      <c r="V2" s="28"/>
      <c r="Z2" s="4" t="s">
        <v>715</v>
      </c>
      <c r="AA2" s="5" t="s">
        <v>742</v>
      </c>
      <c r="AB2" s="5" t="s">
        <v>278</v>
      </c>
      <c r="AC2" s="5">
        <v>1</v>
      </c>
      <c r="AD2" s="5" t="s">
        <v>661</v>
      </c>
      <c r="AE2" s="6">
        <v>4</v>
      </c>
    </row>
    <row r="3" spans="1:31" ht="15" customHeight="1">
      <c r="A3" t="str">
        <f>IF(G3&lt;&gt;"",ScenaAttiva&amp;"_"&amp;AB$4&amp;TEXT(COUNTIF($G3:G$3,"&lt;&gt;"),"0000"),"")</f>
        <v>A_OVE0001</v>
      </c>
      <c r="B3">
        <f>IF(A3&lt;&gt;"",SquadraAttiva,"")</f>
        <v>3</v>
      </c>
      <c r="C3" t="str">
        <f t="shared" ref="C3:C33" si="0">IF(A3&lt;&gt;"",TEXT(B3,"0")&amp;"-"&amp;TRIM(A3),"")</f>
        <v>3-A_OVE0001</v>
      </c>
      <c r="D3">
        <f>IFERROR(_xlfn.XLOOKUP(C3,tblRisposte[idValutazione],tblRisposte[Valore],""),"")</f>
        <v>1</v>
      </c>
      <c r="F3" s="78" t="s">
        <v>167</v>
      </c>
      <c r="G3" t="s">
        <v>36</v>
      </c>
      <c r="H3" cm="1">
        <f t="array" ref="H3">_xlfn.LET(_xlpm.v,_xlfn.XLOOKUP(G3,tblValutazioni[TipoValutazione],tblValutazioni[MB],""),IF(_xlpm.v="","",_xlpm.v))</f>
        <v>3</v>
      </c>
      <c r="I3" s="18">
        <f>IF(_xlfn.XLOOKUP($A3, tblRisposte[ItemKey],tblRisposte[Valore],"")="Molto bene","X",0)</f>
        <v>0</v>
      </c>
      <c r="J3" s="1">
        <f>IF((I3="X"),H3,0)</f>
        <v>0</v>
      </c>
      <c r="K3" t="str" cm="1">
        <f t="array" ref="K3">_xlfn.LET(_xlpm.v,_xlfn.XLOOKUP(G3,tblValutazioni[TipoValutazione],tblValutazioni[BE],""),IF(_xlpm.v="","",_xlpm.v))</f>
        <v/>
      </c>
      <c r="L3" s="18">
        <f>IF(_xlfn.XLOOKUP($A3, tblRisposte[ItemKey], tblRisposte[Valore], "")="Bene","X",0)</f>
        <v>0</v>
      </c>
      <c r="M3" s="1">
        <f>IF((L3="X"),K3,0)</f>
        <v>0</v>
      </c>
      <c r="N3" cm="1">
        <f t="array" ref="N3">_xlfn.LET(_xlpm.v,_xlfn.XLOOKUP(G3,tblValutazioni[TipoValutazione],tblValutazioni[SU],""),IF(_xlpm.v="","",_xlpm.v))</f>
        <v>1</v>
      </c>
      <c r="O3" s="18">
        <f>IF(_xlfn.XLOOKUP($A3, tblRisposte[ItemKey], tblRisposte[Valore], "")="Soddisfacente","X",0)</f>
        <v>0</v>
      </c>
      <c r="P3" s="1">
        <f>IF((O3="X"),N3,0)</f>
        <v>0</v>
      </c>
      <c r="Q3" t="str" cm="1">
        <f t="array" ref="Q3">_xlfn.LET(_xlpm.v,_xlfn.XLOOKUP(G3,tblValutazioni[TipoValutazione],tblValutazioni[IN],""),IF(_xlpm.v="","",_xlpm.v))</f>
        <v/>
      </c>
      <c r="R3" s="18">
        <f>IF(_xlfn.XLOOKUP($A3, tblRisposte[ItemKey], tblRisposte[Valore], "")="Insufficiente","X",0)</f>
        <v>0</v>
      </c>
      <c r="S3" s="1">
        <f>IF((R3="X"),Q3,0)</f>
        <v>0</v>
      </c>
      <c r="T3" cm="1">
        <f t="array" ref="T3">_xlfn.LET(_xlpm.v,_xlfn.XLOOKUP(G3,tblValutazioni[TipoValutazione],tblValutazioni[NE],""),IF(_xlpm.v="","",_xlpm.v))</f>
        <v>0</v>
      </c>
      <c r="U3" s="18">
        <f>IF(_xlfn.XLOOKUP($A3, tblRisposte[ItemKey], tblRisposte[Valore], "")="Non eseguito","X",0)</f>
        <v>0</v>
      </c>
      <c r="V3" s="1">
        <f>IF((U3="X"),T3,0)</f>
        <v>0</v>
      </c>
      <c r="W3">
        <f>COUNTIF(I3,"x")+COUNTIF(L3,"x")+COUNTIF(O3,"x")+COUNTIF(R3,"x")+COUNTIF(U3,"x")</f>
        <v>0</v>
      </c>
      <c r="X3" t="str">
        <f>IF(COUNTIF(I3:U3,"X")=1,"OK","errore")</f>
        <v>errore</v>
      </c>
      <c r="Y3" t="str">
        <f>IF(D3="SEP",IF(I3="x",H3,IF(L3="X",K3,IF(O3="x",N3,IF(R3="X",Q3,IF(U3="X",T3,""))))),"")</f>
        <v/>
      </c>
      <c r="Z3" s="7"/>
      <c r="AE3" s="8"/>
    </row>
    <row r="4" spans="1:31" ht="15" customHeight="1">
      <c r="A4" t="str">
        <f>IF(G4&lt;&gt;"",ScenaAttiva&amp;"_"&amp;AB$4&amp;TEXT(COUNTIF($G$3:G4,"&lt;&gt;"),"0000"),"")</f>
        <v>A_OVE0002</v>
      </c>
      <c r="B4">
        <f>IF(A4&lt;&gt;"",SquadraAttiva,"")</f>
        <v>3</v>
      </c>
      <c r="C4" t="str">
        <f t="shared" si="0"/>
        <v>3-A_OVE0002</v>
      </c>
      <c r="D4">
        <f>IFERROR(_xlfn.XLOOKUP(C4,tblRisposte[idValutazione],tblRisposte[Valore],""),"")</f>
        <v>4</v>
      </c>
      <c r="F4" s="78" t="s">
        <v>169</v>
      </c>
      <c r="G4" t="s">
        <v>35</v>
      </c>
      <c r="H4" cm="1">
        <f t="array" ref="H4">_xlfn.LET(_xlpm.v,_xlfn.XLOOKUP(G4,tblValutazioni[TipoValutazione],tblValutazioni[MB],""),IF(_xlpm.v="","",_xlpm.v))</f>
        <v>5</v>
      </c>
      <c r="I4" s="18">
        <f>IF(_xlfn.XLOOKUP($A4, tblRisposte[ItemKey],tblRisposte[Valore],"")="Molto bene","X",0)</f>
        <v>0</v>
      </c>
      <c r="J4" s="1">
        <f t="shared" ref="J4:J41" si="1">IF((I4="X"),H4,0)</f>
        <v>0</v>
      </c>
      <c r="K4" cm="1">
        <f t="array" ref="K4">_xlfn.LET(_xlpm.v,_xlfn.XLOOKUP(G4,tblValutazioni[TipoValutazione],tblValutazioni[BE],""),IF(_xlpm.v="","",_xlpm.v))</f>
        <v>4</v>
      </c>
      <c r="L4" s="18">
        <f>IF(_xlfn.XLOOKUP($A4, tblRisposte[ItemKey], tblRisposte[Valore], "")="Bene","X",0)</f>
        <v>0</v>
      </c>
      <c r="M4" s="1">
        <f t="shared" ref="M4:M41" si="2">IF((L4="X"),K4,0)</f>
        <v>0</v>
      </c>
      <c r="N4" cm="1">
        <f t="array" ref="N4">_xlfn.LET(_xlpm.v,_xlfn.XLOOKUP(G4,tblValutazioni[TipoValutazione],tblValutazioni[SU],""),IF(_xlpm.v="","",_xlpm.v))</f>
        <v>2</v>
      </c>
      <c r="O4" s="18">
        <f>IF(_xlfn.XLOOKUP($A4, tblRisposte[ItemKey], tblRisposte[Valore], "")="Soddisfacente","X",0)</f>
        <v>0</v>
      </c>
      <c r="P4" s="1">
        <f t="shared" ref="P4:P41" si="3">IF((O4="X"),N4,0)</f>
        <v>0</v>
      </c>
      <c r="Q4" cm="1">
        <f t="array" ref="Q4">_xlfn.LET(_xlpm.v,_xlfn.XLOOKUP(G4,tblValutazioni[TipoValutazione],tblValutazioni[IN],""),IF(_xlpm.v="","",_xlpm.v))</f>
        <v>1</v>
      </c>
      <c r="R4" s="18">
        <f>IF(_xlfn.XLOOKUP($A4, tblRisposte[ItemKey], tblRisposte[Valore], "")="Insufficiente","X",0)</f>
        <v>0</v>
      </c>
      <c r="S4" s="1">
        <f t="shared" ref="S4:S41" si="4">IF((R4="X"),Q4,0)</f>
        <v>0</v>
      </c>
      <c r="T4" cm="1">
        <f t="array" ref="T4">_xlfn.LET(_xlpm.v,_xlfn.XLOOKUP(G4,tblValutazioni[TipoValutazione],tblValutazioni[NE],""),IF(_xlpm.v="","",_xlpm.v))</f>
        <v>0</v>
      </c>
      <c r="U4" s="18">
        <f>IF(_xlfn.XLOOKUP($A4, tblRisposte[ItemKey], tblRisposte[Valore], "")="Non eseguito","X",0)</f>
        <v>0</v>
      </c>
      <c r="V4" s="1">
        <f t="shared" ref="V4:V41" si="5">IF((U4="X"),T4,0)</f>
        <v>0</v>
      </c>
      <c r="W4">
        <f>COUNTIF(I4,"x")+COUNTIF(L4,"x")+COUNTIF(O4,"x")+COUNTIF(R4,"x")+COUNTIF(U4,"x")</f>
        <v>0</v>
      </c>
      <c r="X4" t="str">
        <f>IF(COUNTIF(I4:U4,"X")=1,"OK","errore")</f>
        <v>errore</v>
      </c>
      <c r="Y4" t="str">
        <f>IF(D4="SEP",IF(I4="x",H4,IF(L4="X",K4,IF(O4="x",N4,IF(R4="X",Q4,IF(U4="X",T4,""))))),"")</f>
        <v/>
      </c>
      <c r="Z4" s="9" t="s">
        <v>662</v>
      </c>
      <c r="AA4" s="10">
        <v>2</v>
      </c>
      <c r="AB4" t="str" cm="1">
        <f t="array" ref="AB4">INDEX(tblMapSchede[[#All],[SIGLA]],AA$4+2)</f>
        <v>OVE</v>
      </c>
      <c r="AC4" s="10"/>
      <c r="AD4" s="10"/>
      <c r="AE4" s="11"/>
    </row>
    <row r="5" spans="1:31" ht="15" customHeight="1">
      <c r="A5" t="str">
        <f>IF(G5&lt;&gt;"",ScenaAttiva&amp;"_"&amp;AB$4&amp;TEXT(COUNTIF($G$3:G5,"&lt;&gt;"),"0000"),"")</f>
        <v>A_OVE0003</v>
      </c>
      <c r="B5">
        <f>IF(A5&lt;&gt;"",SquadraAttiva,"")</f>
        <v>3</v>
      </c>
      <c r="C5" t="str">
        <f t="shared" si="0"/>
        <v>3-A_OVE0003</v>
      </c>
      <c r="D5">
        <f>IFERROR(_xlfn.XLOOKUP(C5,tblRisposte[idValutazione],tblRisposte[Valore],""),"")</f>
        <v>4</v>
      </c>
      <c r="F5" s="78" t="s">
        <v>171</v>
      </c>
      <c r="G5" t="s">
        <v>35</v>
      </c>
      <c r="H5" cm="1">
        <f t="array" ref="H5">_xlfn.LET(_xlpm.v,_xlfn.XLOOKUP(G5,tblValutazioni[TipoValutazione],tblValutazioni[MB],""),IF(_xlpm.v="","",_xlpm.v))</f>
        <v>5</v>
      </c>
      <c r="I5" s="18">
        <f>IF(_xlfn.XLOOKUP($A5, tblRisposte[ItemKey],tblRisposte[Valore],"")="Molto bene","X",0)</f>
        <v>0</v>
      </c>
      <c r="J5" s="1">
        <f t="shared" si="1"/>
        <v>0</v>
      </c>
      <c r="K5" cm="1">
        <f t="array" ref="K5">_xlfn.LET(_xlpm.v,_xlfn.XLOOKUP(G5,tblValutazioni[TipoValutazione],tblValutazioni[BE],""),IF(_xlpm.v="","",_xlpm.v))</f>
        <v>4</v>
      </c>
      <c r="L5" s="18">
        <f>IF(_xlfn.XLOOKUP($A5, tblRisposte[ItemKey], tblRisposte[Valore], "")="Bene","X",0)</f>
        <v>0</v>
      </c>
      <c r="M5" s="1">
        <f t="shared" si="2"/>
        <v>0</v>
      </c>
      <c r="N5" cm="1">
        <f t="array" ref="N5">_xlfn.LET(_xlpm.v,_xlfn.XLOOKUP(G5,tblValutazioni[TipoValutazione],tblValutazioni[SU],""),IF(_xlpm.v="","",_xlpm.v))</f>
        <v>2</v>
      </c>
      <c r="O5" s="18">
        <f>IF(_xlfn.XLOOKUP($A5, tblRisposte[ItemKey], tblRisposte[Valore], "")="Soddisfacente","X",0)</f>
        <v>0</v>
      </c>
      <c r="P5" s="1">
        <f t="shared" si="3"/>
        <v>0</v>
      </c>
      <c r="Q5" cm="1">
        <f t="array" ref="Q5">_xlfn.LET(_xlpm.v,_xlfn.XLOOKUP(G5,tblValutazioni[TipoValutazione],tblValutazioni[IN],""),IF(_xlpm.v="","",_xlpm.v))</f>
        <v>1</v>
      </c>
      <c r="R5" s="18">
        <f>IF(_xlfn.XLOOKUP($A5, tblRisposte[ItemKey], tblRisposte[Valore], "")="Insufficiente","X",0)</f>
        <v>0</v>
      </c>
      <c r="S5" s="1">
        <f t="shared" si="4"/>
        <v>0</v>
      </c>
      <c r="T5" cm="1">
        <f t="array" ref="T5">_xlfn.LET(_xlpm.v,_xlfn.XLOOKUP(G5,tblValutazioni[TipoValutazione],tblValutazioni[NE],""),IF(_xlpm.v="","",_xlpm.v))</f>
        <v>0</v>
      </c>
      <c r="U5" s="18">
        <f>IF(_xlfn.XLOOKUP($A5, tblRisposte[ItemKey], tblRisposte[Valore], "")="Non eseguito","X",0)</f>
        <v>0</v>
      </c>
      <c r="V5" s="1">
        <f t="shared" si="5"/>
        <v>0</v>
      </c>
      <c r="W5">
        <f>COUNTIF(I5,"x")+COUNTIF(L5,"x")+COUNTIF(O5,"x")+COUNTIF(R5,"x")+COUNTIF(U5,"x")</f>
        <v>0</v>
      </c>
      <c r="X5" t="str">
        <f>IF(COUNTIF(I5:U5,"X")=1,"OK","errore")</f>
        <v>errore</v>
      </c>
      <c r="Y5" t="str">
        <f>IF(D5="SEP",IF(I5="x",H5,IF(L5="X",K5,IF(O5="x",N5,IF(R5="X",Q5,IF(U5="X",T5,""))))),"")</f>
        <v/>
      </c>
    </row>
    <row r="6" spans="1:31" ht="15" customHeight="1">
      <c r="A6" t="str">
        <f>IF(G6&lt;&gt;"",ScenaAttiva&amp;"_"&amp;AB$4&amp;TEXT(COUNTIF($G$3:G6,"&lt;&gt;"),"0000"),"")</f>
        <v>A_OVE0004</v>
      </c>
      <c r="B6">
        <f>IF(A6&lt;&gt;"",SquadraAttiva,"")</f>
        <v>3</v>
      </c>
      <c r="C6" t="str">
        <f t="shared" si="0"/>
        <v>3-A_OVE0004</v>
      </c>
      <c r="D6">
        <f>IFERROR(_xlfn.XLOOKUP(C6,tblRisposte[idValutazione],tblRisposte[Valore],""),"")</f>
        <v>2</v>
      </c>
      <c r="F6" s="78" t="s">
        <v>63</v>
      </c>
      <c r="G6" t="s">
        <v>35</v>
      </c>
      <c r="H6" cm="1">
        <f t="array" ref="H6">_xlfn.LET(_xlpm.v,_xlfn.XLOOKUP(G6,tblValutazioni[TipoValutazione],tblValutazioni[MB],""),IF(_xlpm.v="","",_xlpm.v))</f>
        <v>5</v>
      </c>
      <c r="I6" s="18">
        <f>IF(_xlfn.XLOOKUP($A6, tblRisposte[ItemKey],tblRisposte[Valore],"")="Molto bene","X",0)</f>
        <v>0</v>
      </c>
      <c r="J6" s="1">
        <f t="shared" si="1"/>
        <v>0</v>
      </c>
      <c r="K6" cm="1">
        <f t="array" ref="K6">_xlfn.LET(_xlpm.v,_xlfn.XLOOKUP(G6,tblValutazioni[TipoValutazione],tblValutazioni[BE],""),IF(_xlpm.v="","",_xlpm.v))</f>
        <v>4</v>
      </c>
      <c r="L6" s="18">
        <f>IF(_xlfn.XLOOKUP($A6, tblRisposte[ItemKey], tblRisposte[Valore], "")="Bene","X",0)</f>
        <v>0</v>
      </c>
      <c r="M6" s="1">
        <f t="shared" si="2"/>
        <v>0</v>
      </c>
      <c r="N6" cm="1">
        <f t="array" ref="N6">_xlfn.LET(_xlpm.v,_xlfn.XLOOKUP(G6,tblValutazioni[TipoValutazione],tblValutazioni[SU],""),IF(_xlpm.v="","",_xlpm.v))</f>
        <v>2</v>
      </c>
      <c r="O6" s="18">
        <f>IF(_xlfn.XLOOKUP($A6, tblRisposte[ItemKey], tblRisposte[Valore], "")="Soddisfacente","X",0)</f>
        <v>0</v>
      </c>
      <c r="P6" s="1">
        <f t="shared" si="3"/>
        <v>0</v>
      </c>
      <c r="Q6" cm="1">
        <f t="array" ref="Q6">_xlfn.LET(_xlpm.v,_xlfn.XLOOKUP(G6,tblValutazioni[TipoValutazione],tblValutazioni[IN],""),IF(_xlpm.v="","",_xlpm.v))</f>
        <v>1</v>
      </c>
      <c r="R6" s="18">
        <f>IF(_xlfn.XLOOKUP($A6, tblRisposte[ItemKey], tblRisposte[Valore], "")="Insufficiente","X",0)</f>
        <v>0</v>
      </c>
      <c r="S6" s="1">
        <f t="shared" si="4"/>
        <v>0</v>
      </c>
      <c r="T6" cm="1">
        <f t="array" ref="T6">_xlfn.LET(_xlpm.v,_xlfn.XLOOKUP(G6,tblValutazioni[TipoValutazione],tblValutazioni[NE],""),IF(_xlpm.v="","",_xlpm.v))</f>
        <v>0</v>
      </c>
      <c r="U6" s="18">
        <f>IF(_xlfn.XLOOKUP($A6, tblRisposte[ItemKey], tblRisposte[Valore], "")="Non eseguito","X",0)</f>
        <v>0</v>
      </c>
      <c r="V6" s="1">
        <f t="shared" si="5"/>
        <v>0</v>
      </c>
      <c r="W6">
        <f>COUNTIF(I6,"x")+COUNTIF(L6,"x")+COUNTIF(O6,"x")+COUNTIF(R6,"x")+COUNTIF(U6,"x")</f>
        <v>0</v>
      </c>
      <c r="X6" t="str">
        <f>IF(COUNTIF(I6:U6,"X")=1,"OK","errore")</f>
        <v>errore</v>
      </c>
      <c r="Y6" t="str">
        <f>IF(D6="SEP",IF(I6="x",H6,IF(L6="X",K6,IF(O6="x",N6,IF(R6="X",Q6,IF(U6="X",T6,""))))),"")</f>
        <v/>
      </c>
      <c r="Z6" t="s">
        <v>743</v>
      </c>
    </row>
    <row r="7" spans="1:31" ht="15" customHeight="1">
      <c r="A7" t="str">
        <f>IF(G7&lt;&gt;"",ScenaAttiva&amp;"_"&amp;AB$4&amp;TEXT(COUNTIF($G$3:G7,"&lt;&gt;"),"0000"),"")</f>
        <v>A_OVE0005</v>
      </c>
      <c r="B7">
        <f>IF(A7&lt;&gt;"",SquadraAttiva,"")</f>
        <v>3</v>
      </c>
      <c r="C7" t="str">
        <f t="shared" si="0"/>
        <v>3-A_OVE0005</v>
      </c>
      <c r="D7">
        <f>IFERROR(_xlfn.XLOOKUP(C7,tblRisposte[idValutazione],tblRisposte[Valore],""),"")</f>
        <v>1</v>
      </c>
      <c r="E7" t="s">
        <v>653</v>
      </c>
      <c r="F7" s="78" t="s">
        <v>124</v>
      </c>
      <c r="G7" t="s">
        <v>36</v>
      </c>
      <c r="H7" cm="1">
        <f t="array" ref="H7">_xlfn.LET(_xlpm.v,_xlfn.XLOOKUP(G7,tblValutazioni[TipoValutazione],tblValutazioni[MB],""),IF(_xlpm.v="","",_xlpm.v))</f>
        <v>3</v>
      </c>
      <c r="I7" s="18">
        <f>IF(_xlfn.XLOOKUP($A7, tblRisposte[ItemKey],tblRisposte[Valore],"")="Molto bene","X",0)</f>
        <v>0</v>
      </c>
      <c r="J7" s="1">
        <f t="shared" si="1"/>
        <v>0</v>
      </c>
      <c r="K7" t="str" cm="1">
        <f t="array" ref="K7">_xlfn.LET(_xlpm.v,_xlfn.XLOOKUP(G7,tblValutazioni[TipoValutazione],tblValutazioni[BE],""),IF(_xlpm.v="","",_xlpm.v))</f>
        <v/>
      </c>
      <c r="L7" s="18">
        <f>IF(_xlfn.XLOOKUP($A7, tblRisposte[ItemKey], tblRisposte[Valore], "")="Bene","X",0)</f>
        <v>0</v>
      </c>
      <c r="M7" s="1">
        <f t="shared" si="2"/>
        <v>0</v>
      </c>
      <c r="N7" cm="1">
        <f t="array" ref="N7">_xlfn.LET(_xlpm.v,_xlfn.XLOOKUP(G7,tblValutazioni[TipoValutazione],tblValutazioni[SU],""),IF(_xlpm.v="","",_xlpm.v))</f>
        <v>1</v>
      </c>
      <c r="O7" s="18">
        <f>IF(_xlfn.XLOOKUP($A7, tblRisposte[ItemKey], tblRisposte[Valore], "")="Soddisfacente","X",0)</f>
        <v>0</v>
      </c>
      <c r="P7" s="1">
        <f t="shared" si="3"/>
        <v>0</v>
      </c>
      <c r="Q7" t="str" cm="1">
        <f t="array" ref="Q7">_xlfn.LET(_xlpm.v,_xlfn.XLOOKUP(G7,tblValutazioni[TipoValutazione],tblValutazioni[IN],""),IF(_xlpm.v="","",_xlpm.v))</f>
        <v/>
      </c>
      <c r="R7" s="18">
        <f>IF(_xlfn.XLOOKUP($A7, tblRisposte[ItemKey], tblRisposte[Valore], "")="Insufficiente","X",0)</f>
        <v>0</v>
      </c>
      <c r="S7" s="1">
        <f t="shared" si="4"/>
        <v>0</v>
      </c>
      <c r="T7" cm="1">
        <f t="array" ref="T7">_xlfn.LET(_xlpm.v,_xlfn.XLOOKUP(G7,tblValutazioni[TipoValutazione],tblValutazioni[NE],""),IF(_xlpm.v="","",_xlpm.v))</f>
        <v>0</v>
      </c>
      <c r="U7" s="18">
        <f>IF(_xlfn.XLOOKUP($A7, tblRisposte[ItemKey], tblRisposte[Valore], "")="Non eseguito","X",0)</f>
        <v>0</v>
      </c>
      <c r="V7" s="1">
        <f t="shared" si="5"/>
        <v>0</v>
      </c>
      <c r="W7">
        <f>COUNTIF(I7,"x")+COUNTIF(L7,"x")+COUNTIF(O7,"x")+COUNTIF(R7,"x")+COUNTIF(U7,"x")</f>
        <v>0</v>
      </c>
      <c r="X7" t="str">
        <f>IF(COUNTIF(I7:U7,"X")=1,"OK","errore")</f>
        <v>errore</v>
      </c>
      <c r="Y7" t="str">
        <f>IF(D7="SEP",IF(I7="x",H7,IF(L7="X",K7,IF(O7="x",N7,IF(R7="X",Q7,IF(U7="X",T7,""))))),"")</f>
        <v/>
      </c>
    </row>
    <row r="8" spans="1:31" ht="15" customHeight="1">
      <c r="A8" t="str">
        <f>IF(G8&lt;&gt;"",ScenaAttiva&amp;"_"&amp;AB$4&amp;TEXT(COUNTIF($G$3:G8,"&lt;&gt;"),"0000"),"")</f>
        <v>A_OVE0006</v>
      </c>
      <c r="B8">
        <f>IF(A8&lt;&gt;"",SquadraAttiva,"")</f>
        <v>3</v>
      </c>
      <c r="C8" t="str">
        <f t="shared" si="0"/>
        <v>3-A_OVE0006</v>
      </c>
      <c r="D8">
        <f>IFERROR(_xlfn.XLOOKUP(C8,tblRisposte[idValutazione],tblRisposte[Valore],""),"")</f>
        <v>2</v>
      </c>
      <c r="E8" t="s">
        <v>653</v>
      </c>
      <c r="F8" s="82" t="s">
        <v>126</v>
      </c>
      <c r="G8" t="s">
        <v>35</v>
      </c>
      <c r="H8" cm="1">
        <f t="array" ref="H8">_xlfn.LET(_xlpm.v,_xlfn.XLOOKUP(G8,tblValutazioni[TipoValutazione],tblValutazioni[MB],""),IF(_xlpm.v="","",_xlpm.v))</f>
        <v>5</v>
      </c>
      <c r="I8" s="18">
        <f>IF(_xlfn.XLOOKUP($A8, tblRisposte[ItemKey],tblRisposte[Valore],"")="Molto bene","X",0)</f>
        <v>0</v>
      </c>
      <c r="J8" s="1">
        <f t="shared" si="1"/>
        <v>0</v>
      </c>
      <c r="K8" cm="1">
        <f t="array" ref="K8">_xlfn.LET(_xlpm.v,_xlfn.XLOOKUP(G8,tblValutazioni[TipoValutazione],tblValutazioni[BE],""),IF(_xlpm.v="","",_xlpm.v))</f>
        <v>4</v>
      </c>
      <c r="L8" s="18">
        <f>IF(_xlfn.XLOOKUP($A8, tblRisposte[ItemKey], tblRisposte[Valore], "")="Bene","X",0)</f>
        <v>0</v>
      </c>
      <c r="M8" s="1">
        <f t="shared" si="2"/>
        <v>0</v>
      </c>
      <c r="N8" cm="1">
        <f t="array" ref="N8">_xlfn.LET(_xlpm.v,_xlfn.XLOOKUP(G8,tblValutazioni[TipoValutazione],tblValutazioni[SU],""),IF(_xlpm.v="","",_xlpm.v))</f>
        <v>2</v>
      </c>
      <c r="O8" s="18">
        <f>IF(_xlfn.XLOOKUP($A8, tblRisposte[ItemKey], tblRisposte[Valore], "")="Soddisfacente","X",0)</f>
        <v>0</v>
      </c>
      <c r="P8" s="1">
        <f t="shared" si="3"/>
        <v>0</v>
      </c>
      <c r="Q8" cm="1">
        <f t="array" ref="Q8">_xlfn.LET(_xlpm.v,_xlfn.XLOOKUP(G8,tblValutazioni[TipoValutazione],tblValutazioni[IN],""),IF(_xlpm.v="","",_xlpm.v))</f>
        <v>1</v>
      </c>
      <c r="R8" s="18">
        <f>IF(_xlfn.XLOOKUP($A8, tblRisposte[ItemKey], tblRisposte[Valore], "")="Insufficiente","X",0)</f>
        <v>0</v>
      </c>
      <c r="S8" s="1">
        <f t="shared" si="4"/>
        <v>0</v>
      </c>
      <c r="T8" cm="1">
        <f t="array" ref="T8">_xlfn.LET(_xlpm.v,_xlfn.XLOOKUP(G8,tblValutazioni[TipoValutazione],tblValutazioni[NE],""),IF(_xlpm.v="","",_xlpm.v))</f>
        <v>0</v>
      </c>
      <c r="U8" s="18">
        <f>IF(_xlfn.XLOOKUP($A8, tblRisposte[ItemKey], tblRisposte[Valore], "")="Non eseguito","X",0)</f>
        <v>0</v>
      </c>
      <c r="V8" s="1">
        <f t="shared" si="5"/>
        <v>0</v>
      </c>
      <c r="W8">
        <f>COUNTIF(I8,"x")+COUNTIF(L8,"x")+COUNTIF(O8,"x")+COUNTIF(R8,"x")+COUNTIF(U8,"x")</f>
        <v>0</v>
      </c>
      <c r="X8" t="str">
        <f>IF(COUNTIF(I8:U8,"X")=1,"OK","errore")</f>
        <v>errore</v>
      </c>
      <c r="Y8" t="str">
        <f>IF(D8="SEP",IF(I8="x",H8,IF(L8="X",K8,IF(O8="x",N8,IF(R8="X",Q8,IF(U8="X",T8,""))))),"")</f>
        <v/>
      </c>
      <c r="Z8" t="s">
        <v>744</v>
      </c>
    </row>
    <row r="9" spans="1:31" ht="15" customHeight="1">
      <c r="A9" t="str">
        <f>IF(G9&lt;&gt;"",ScenaAttiva&amp;"_"&amp;AB$4&amp;TEXT(COUNTIF($G$3:G9,"&lt;&gt;"),"0000"),"")</f>
        <v>A_OVE0007</v>
      </c>
      <c r="B9">
        <f>IF(A9&lt;&gt;"",SquadraAttiva,"")</f>
        <v>3</v>
      </c>
      <c r="C9" t="str">
        <f t="shared" si="0"/>
        <v>3-A_OVE0007</v>
      </c>
      <c r="D9">
        <f>IFERROR(_xlfn.XLOOKUP(C9,tblRisposte[idValutazione],tblRisposte[Valore],""),"")</f>
        <v>2</v>
      </c>
      <c r="E9" t="s">
        <v>653</v>
      </c>
      <c r="F9" s="82" t="s">
        <v>176</v>
      </c>
      <c r="G9" t="s">
        <v>35</v>
      </c>
      <c r="H9" cm="1">
        <f t="array" ref="H9">_xlfn.LET(_xlpm.v,_xlfn.XLOOKUP(G9,tblValutazioni[TipoValutazione],tblValutazioni[MB],""),IF(_xlpm.v="","",_xlpm.v))</f>
        <v>5</v>
      </c>
      <c r="I9" s="18">
        <f>IF(_xlfn.XLOOKUP($A9, tblRisposte[ItemKey],tblRisposte[Valore],"")="Molto bene","X",0)</f>
        <v>0</v>
      </c>
      <c r="J9" s="1">
        <f t="shared" si="1"/>
        <v>0</v>
      </c>
      <c r="K9" cm="1">
        <f t="array" ref="K9">_xlfn.LET(_xlpm.v,_xlfn.XLOOKUP(G9,tblValutazioni[TipoValutazione],tblValutazioni[BE],""),IF(_xlpm.v="","",_xlpm.v))</f>
        <v>4</v>
      </c>
      <c r="L9" s="18">
        <f>IF(_xlfn.XLOOKUP($A9, tblRisposte[ItemKey], tblRisposte[Valore], "")="Bene","X",0)</f>
        <v>0</v>
      </c>
      <c r="M9" s="1">
        <f t="shared" si="2"/>
        <v>0</v>
      </c>
      <c r="N9" cm="1">
        <f t="array" ref="N9">_xlfn.LET(_xlpm.v,_xlfn.XLOOKUP(G9,tblValutazioni[TipoValutazione],tblValutazioni[SU],""),IF(_xlpm.v="","",_xlpm.v))</f>
        <v>2</v>
      </c>
      <c r="O9" s="18">
        <f>IF(_xlfn.XLOOKUP($A9, tblRisposte[ItemKey], tblRisposte[Valore], "")="Soddisfacente","X",0)</f>
        <v>0</v>
      </c>
      <c r="P9" s="1">
        <f t="shared" si="3"/>
        <v>0</v>
      </c>
      <c r="Q9" cm="1">
        <f t="array" ref="Q9">_xlfn.LET(_xlpm.v,_xlfn.XLOOKUP(G9,tblValutazioni[TipoValutazione],tblValutazioni[IN],""),IF(_xlpm.v="","",_xlpm.v))</f>
        <v>1</v>
      </c>
      <c r="R9" s="18">
        <f>IF(_xlfn.XLOOKUP($A9, tblRisposte[ItemKey], tblRisposte[Valore], "")="Insufficiente","X",0)</f>
        <v>0</v>
      </c>
      <c r="S9" s="1">
        <f t="shared" si="4"/>
        <v>0</v>
      </c>
      <c r="T9" cm="1">
        <f t="array" ref="T9">_xlfn.LET(_xlpm.v,_xlfn.XLOOKUP(G9,tblValutazioni[TipoValutazione],tblValutazioni[NE],""),IF(_xlpm.v="","",_xlpm.v))</f>
        <v>0</v>
      </c>
      <c r="U9" s="18">
        <f>IF(_xlfn.XLOOKUP($A9, tblRisposte[ItemKey], tblRisposte[Valore], "")="Non eseguito","X",0)</f>
        <v>0</v>
      </c>
      <c r="V9" s="1">
        <f t="shared" si="5"/>
        <v>0</v>
      </c>
      <c r="W9">
        <f>COUNTIF(I9,"x")+COUNTIF(L9,"x")+COUNTIF(O9,"x")+COUNTIF(R9,"x")+COUNTIF(U9,"x")</f>
        <v>0</v>
      </c>
      <c r="X9" t="str">
        <f>IF(COUNTIF(I9:U9,"X")=1,"OK","errore")</f>
        <v>errore</v>
      </c>
      <c r="Y9" t="str">
        <f>IF(D9="SEP",IF(I9="x",H9,IF(L9="X",K9,IF(O9="x",N9,IF(R9="X",Q9,IF(U9="X",T9,""))))),"")</f>
        <v/>
      </c>
    </row>
    <row r="10" spans="1:31" ht="15" customHeight="1">
      <c r="A10" t="str">
        <f>IF(G10&lt;&gt;"",ScenaAttiva&amp;"_"&amp;AB$4&amp;TEXT(COUNTIF($G$3:G10,"&lt;&gt;"),"0000"),"")</f>
        <v>A_OVE0008</v>
      </c>
      <c r="B10">
        <f>IF(A10&lt;&gt;"",SquadraAttiva,"")</f>
        <v>3</v>
      </c>
      <c r="C10" t="str">
        <f t="shared" si="0"/>
        <v>3-A_OVE0008</v>
      </c>
      <c r="D10">
        <f>IFERROR(_xlfn.XLOOKUP(C10,tblRisposte[idValutazione],tblRisposte[Valore],""),"")</f>
        <v>1</v>
      </c>
      <c r="E10" t="s">
        <v>653</v>
      </c>
      <c r="F10" s="82" t="s">
        <v>178</v>
      </c>
      <c r="G10" t="s">
        <v>36</v>
      </c>
      <c r="H10" cm="1">
        <f t="array" ref="H10">_xlfn.LET(_xlpm.v,_xlfn.XLOOKUP(G10,tblValutazioni[TipoValutazione],tblValutazioni[MB],""),IF(_xlpm.v="","",_xlpm.v))</f>
        <v>3</v>
      </c>
      <c r="I10" s="18">
        <f>IF(_xlfn.XLOOKUP($A10, tblRisposte[ItemKey],tblRisposte[Valore],"")="Molto bene","X",0)</f>
        <v>0</v>
      </c>
      <c r="J10" s="1">
        <f t="shared" si="1"/>
        <v>0</v>
      </c>
      <c r="K10" t="str" cm="1">
        <f t="array" ref="K10">_xlfn.LET(_xlpm.v,_xlfn.XLOOKUP(G10,tblValutazioni[TipoValutazione],tblValutazioni[BE],""),IF(_xlpm.v="","",_xlpm.v))</f>
        <v/>
      </c>
      <c r="L10" s="18">
        <f>IF(_xlfn.XLOOKUP($A10, tblRisposte[ItemKey], tblRisposte[Valore], "")="Bene","X",0)</f>
        <v>0</v>
      </c>
      <c r="M10" s="1">
        <f t="shared" si="2"/>
        <v>0</v>
      </c>
      <c r="N10" cm="1">
        <f t="array" ref="N10">_xlfn.LET(_xlpm.v,_xlfn.XLOOKUP(G10,tblValutazioni[TipoValutazione],tblValutazioni[SU],""),IF(_xlpm.v="","",_xlpm.v))</f>
        <v>1</v>
      </c>
      <c r="O10" s="18">
        <f>IF(_xlfn.XLOOKUP($A10, tblRisposte[ItemKey], tblRisposte[Valore], "")="Soddisfacente","X",0)</f>
        <v>0</v>
      </c>
      <c r="P10" s="1">
        <f t="shared" si="3"/>
        <v>0</v>
      </c>
      <c r="Q10" t="str" cm="1">
        <f t="array" ref="Q10">_xlfn.LET(_xlpm.v,_xlfn.XLOOKUP(G10,tblValutazioni[TipoValutazione],tblValutazioni[IN],""),IF(_xlpm.v="","",_xlpm.v))</f>
        <v/>
      </c>
      <c r="R10" s="18">
        <f>IF(_xlfn.XLOOKUP($A10, tblRisposte[ItemKey], tblRisposte[Valore], "")="Insufficiente","X",0)</f>
        <v>0</v>
      </c>
      <c r="S10" s="1">
        <f t="shared" si="4"/>
        <v>0</v>
      </c>
      <c r="T10" cm="1">
        <f t="array" ref="T10">_xlfn.LET(_xlpm.v,_xlfn.XLOOKUP(G10,tblValutazioni[TipoValutazione],tblValutazioni[NE],""),IF(_xlpm.v="","",_xlpm.v))</f>
        <v>0</v>
      </c>
      <c r="U10" s="18">
        <f>IF(_xlfn.XLOOKUP($A10, tblRisposte[ItemKey], tblRisposte[Valore], "")="Non eseguito","X",0)</f>
        <v>0</v>
      </c>
      <c r="V10" s="1">
        <f t="shared" si="5"/>
        <v>0</v>
      </c>
      <c r="W10">
        <f>COUNTIF(I10,"x")+COUNTIF(L10,"x")+COUNTIF(O10,"x")+COUNTIF(R10,"x")+COUNTIF(U10,"x")</f>
        <v>0</v>
      </c>
      <c r="X10" t="str">
        <f>IF(COUNTIF(I10:U10,"X")=1,"OK","errore")</f>
        <v>errore</v>
      </c>
      <c r="Y10" t="str">
        <f>IF(D10="SEP",IF(I10="x",H10,IF(L10="X",K10,IF(O10="x",N10,IF(R10="X",Q10,IF(U10="X",T10,""))))),"")</f>
        <v/>
      </c>
    </row>
    <row r="11" spans="1:31" ht="15" customHeight="1">
      <c r="A11" t="str">
        <f>IF(G11&lt;&gt;"",ScenaAttiva&amp;"_"&amp;AB$4&amp;TEXT(COUNTIF($G$3:G11,"&lt;&gt;"),"0000"),"")</f>
        <v/>
      </c>
      <c r="B11" t="str">
        <f>IF(A11&lt;&gt;"",SquadraAttiva,"")</f>
        <v/>
      </c>
      <c r="C11" t="str">
        <f t="shared" si="0"/>
        <v/>
      </c>
      <c r="D11" t="str">
        <f>IFERROR(_xlfn.XLOOKUP(C11,tblRisposte[idValutazione],tblRisposte[Valore],""),"")</f>
        <v/>
      </c>
      <c r="F11" s="83" t="s">
        <v>128</v>
      </c>
      <c r="H11" t="str" cm="1">
        <f t="array" ref="H11">_xlfn.LET(_xlpm.v,_xlfn.XLOOKUP(G11,tblValutazioni[TipoValutazione],tblValutazioni[MB],""),IF(_xlpm.v="","",_xlpm.v))</f>
        <v/>
      </c>
      <c r="I11" s="18">
        <f>IF(_xlfn.XLOOKUP($A11, tblRisposte[ItemKey],tblRisposte[Valore],"")="Molto bene","X",0)</f>
        <v>0</v>
      </c>
      <c r="J11" s="1">
        <f t="shared" si="1"/>
        <v>0</v>
      </c>
      <c r="K11" t="str" cm="1">
        <f t="array" ref="K11">_xlfn.LET(_xlpm.v,_xlfn.XLOOKUP(G11,tblValutazioni[TipoValutazione],tblValutazioni[BE],""),IF(_xlpm.v="","",_xlpm.v))</f>
        <v/>
      </c>
      <c r="L11" s="18">
        <f>IF(_xlfn.XLOOKUP($A11, tblRisposte[ItemKey], tblRisposte[Valore], "")="Bene","X",0)</f>
        <v>0</v>
      </c>
      <c r="M11" s="1">
        <f t="shared" si="2"/>
        <v>0</v>
      </c>
      <c r="N11" t="str" cm="1">
        <f t="array" ref="N11">_xlfn.LET(_xlpm.v,_xlfn.XLOOKUP(G11,tblValutazioni[TipoValutazione],tblValutazioni[SU],""),IF(_xlpm.v="","",_xlpm.v))</f>
        <v/>
      </c>
      <c r="O11" s="18">
        <f>IF(_xlfn.XLOOKUP($A11, tblRisposte[ItemKey], tblRisposte[Valore], "")="Soddisfacente","X",0)</f>
        <v>0</v>
      </c>
      <c r="P11" s="1">
        <f t="shared" si="3"/>
        <v>0</v>
      </c>
      <c r="Q11" t="str" cm="1">
        <f t="array" ref="Q11">_xlfn.LET(_xlpm.v,_xlfn.XLOOKUP(G11,tblValutazioni[TipoValutazione],tblValutazioni[IN],""),IF(_xlpm.v="","",_xlpm.v))</f>
        <v/>
      </c>
      <c r="R11" s="18">
        <f>IF(_xlfn.XLOOKUP($A11, tblRisposte[ItemKey], tblRisposte[Valore], "")="Insufficiente","X",0)</f>
        <v>0</v>
      </c>
      <c r="S11" s="1">
        <f t="shared" si="4"/>
        <v>0</v>
      </c>
      <c r="T11" t="str" cm="1">
        <f t="array" ref="T11">_xlfn.LET(_xlpm.v,_xlfn.XLOOKUP(G11,tblValutazioni[TipoValutazione],tblValutazioni[NE],""),IF(_xlpm.v="","",_xlpm.v))</f>
        <v/>
      </c>
      <c r="U11" s="18">
        <f>IF(_xlfn.XLOOKUP($A11, tblRisposte[ItemKey], tblRisposte[Valore], "")="Non eseguito","X",0)</f>
        <v>0</v>
      </c>
      <c r="V11" s="1">
        <f t="shared" si="5"/>
        <v>0</v>
      </c>
      <c r="W11" s="17"/>
      <c r="X11" t="str">
        <f>IF(COUNTIF(I11:U11,"X")=1,"OK","errore")</f>
        <v>errore</v>
      </c>
      <c r="Y11" t="str">
        <f>IF(D11="SEP",IF(I11="x",H11,IF(L11="X",K11,IF(O11="x",N11,IF(R11="X",Q11,IF(U11="X",T11,""))))),"")</f>
        <v/>
      </c>
      <c r="Z11" t="s">
        <v>718</v>
      </c>
      <c r="AA11">
        <f>SUM(H2:H38)</f>
        <v>105</v>
      </c>
    </row>
    <row r="12" spans="1:31" ht="15" customHeight="1">
      <c r="A12" t="str">
        <f>IF(G12&lt;&gt;"",ScenaAttiva&amp;"_"&amp;AB$4&amp;TEXT(COUNTIF($G$3:G12,"&lt;&gt;"),"0000"),"")</f>
        <v>A_OVE0009</v>
      </c>
      <c r="B12">
        <f>IF(A12&lt;&gt;"",SquadraAttiva,"")</f>
        <v>3</v>
      </c>
      <c r="C12" t="str">
        <f t="shared" si="0"/>
        <v>3-A_OVE0009</v>
      </c>
      <c r="D12">
        <f>IFERROR(_xlfn.XLOOKUP(C12,tblRisposte[idValutazione],tblRisposte[Valore],""),"")</f>
        <v>8</v>
      </c>
      <c r="F12" s="78" t="s">
        <v>181</v>
      </c>
      <c r="G12" s="26" t="s">
        <v>37</v>
      </c>
      <c r="H12" cm="1">
        <f t="array" ref="H12">_xlfn.LET(_xlpm.v,_xlfn.XLOOKUP(G12,tblValutazioni[TipoValutazione],tblValutazioni[MB],""),IF(_xlpm.v="","",_xlpm.v))</f>
        <v>10</v>
      </c>
      <c r="I12" s="18">
        <f>IF(_xlfn.XLOOKUP($A12, tblRisposte[ItemKey],tblRisposte[Valore],"")="Molto bene","X",0)</f>
        <v>0</v>
      </c>
      <c r="J12" s="1">
        <f t="shared" si="1"/>
        <v>0</v>
      </c>
      <c r="K12" cm="1">
        <f t="array" ref="K12">_xlfn.LET(_xlpm.v,_xlfn.XLOOKUP(G12,tblValutazioni[TipoValutazione],tblValutazioni[BE],""),IF(_xlpm.v="","",_xlpm.v))</f>
        <v>8</v>
      </c>
      <c r="L12" s="18">
        <f>IF(_xlfn.XLOOKUP($A12, tblRisposte[ItemKey], tblRisposte[Valore], "")="Bene","X",0)</f>
        <v>0</v>
      </c>
      <c r="M12" s="1">
        <f t="shared" si="2"/>
        <v>0</v>
      </c>
      <c r="N12" cm="1">
        <f t="array" ref="N12">_xlfn.LET(_xlpm.v,_xlfn.XLOOKUP(G12,tblValutazioni[TipoValutazione],tblValutazioni[SU],""),IF(_xlpm.v="","",_xlpm.v))</f>
        <v>4</v>
      </c>
      <c r="O12" s="18">
        <f>IF(_xlfn.XLOOKUP($A12, tblRisposte[ItemKey], tblRisposte[Valore], "")="Soddisfacente","X",0)</f>
        <v>0</v>
      </c>
      <c r="P12" s="1">
        <f t="shared" si="3"/>
        <v>0</v>
      </c>
      <c r="Q12" cm="1">
        <f t="array" ref="Q12">_xlfn.LET(_xlpm.v,_xlfn.XLOOKUP(G12,tblValutazioni[TipoValutazione],tblValutazioni[IN],""),IF(_xlpm.v="","",_xlpm.v))</f>
        <v>1</v>
      </c>
      <c r="R12" s="18">
        <f>IF(_xlfn.XLOOKUP($A12, tblRisposte[ItemKey], tblRisposte[Valore], "")="Insufficiente","X",0)</f>
        <v>0</v>
      </c>
      <c r="S12" s="1">
        <f t="shared" si="4"/>
        <v>0</v>
      </c>
      <c r="T12" cm="1">
        <f t="array" ref="T12">_xlfn.LET(_xlpm.v,_xlfn.XLOOKUP(G12,tblValutazioni[TipoValutazione],tblValutazioni[NE],""),IF(_xlpm.v="","",_xlpm.v))</f>
        <v>0</v>
      </c>
      <c r="U12" s="18">
        <f>IF(_xlfn.XLOOKUP($A12, tblRisposte[ItemKey], tblRisposte[Valore], "")="Non eseguito","X",0)</f>
        <v>0</v>
      </c>
      <c r="V12" s="1">
        <f t="shared" si="5"/>
        <v>0</v>
      </c>
      <c r="W12">
        <f>COUNTIF(I12,"x")+COUNTIF(L12,"x")+COUNTIF(O12,"x")+COUNTIF(R12,"x")+COUNTIF(U12,"x")</f>
        <v>0</v>
      </c>
      <c r="X12" t="str">
        <f>IF(COUNTIF(I12:U12,"X")=1,"OK","errore")</f>
        <v>errore</v>
      </c>
      <c r="Y12" t="str">
        <f>IF(D12="SEP",IF(I12="x",H12,IF(L12="X",K12,IF(O12="x",N12,IF(R12="X",Q12,IF(U12="X",T12,""))))),"")</f>
        <v/>
      </c>
      <c r="Z12" t="s">
        <v>719</v>
      </c>
      <c r="AA12" s="13">
        <f>J43/AA11</f>
        <v>0</v>
      </c>
    </row>
    <row r="13" spans="1:31" ht="15" customHeight="1">
      <c r="A13" t="str">
        <f>IF(G13&lt;&gt;"",ScenaAttiva&amp;"_"&amp;AB$4&amp;TEXT(COUNTIF($G$3:G13,"&lt;&gt;"),"0000"),"")</f>
        <v>A_OVE0010</v>
      </c>
      <c r="B13">
        <f>IF(A13&lt;&gt;"",SquadraAttiva,"")</f>
        <v>3</v>
      </c>
      <c r="C13" t="str">
        <f t="shared" si="0"/>
        <v>3-A_OVE0010</v>
      </c>
      <c r="D13">
        <f>IFERROR(_xlfn.XLOOKUP(C13,tblRisposte[idValutazione],tblRisposte[Valore],""),"")</f>
        <v>2</v>
      </c>
      <c r="F13" s="78" t="s">
        <v>183</v>
      </c>
      <c r="G13" t="s">
        <v>35</v>
      </c>
      <c r="H13" cm="1">
        <f t="array" ref="H13">_xlfn.LET(_xlpm.v,_xlfn.XLOOKUP(G13,tblValutazioni[TipoValutazione],tblValutazioni[MB],""),IF(_xlpm.v="","",_xlpm.v))</f>
        <v>5</v>
      </c>
      <c r="I13" s="18">
        <f>IF(_xlfn.XLOOKUP($A13, tblRisposte[ItemKey],tblRisposte[Valore],"")="Molto bene","X",0)</f>
        <v>0</v>
      </c>
      <c r="J13" s="1">
        <f t="shared" si="1"/>
        <v>0</v>
      </c>
      <c r="K13" cm="1">
        <f t="array" ref="K13">_xlfn.LET(_xlpm.v,_xlfn.XLOOKUP(G13,tblValutazioni[TipoValutazione],tblValutazioni[BE],""),IF(_xlpm.v="","",_xlpm.v))</f>
        <v>4</v>
      </c>
      <c r="L13" s="18">
        <f>IF(_xlfn.XLOOKUP($A13, tblRisposte[ItemKey], tblRisposte[Valore], "")="Bene","X",0)</f>
        <v>0</v>
      </c>
      <c r="M13" s="1">
        <f t="shared" si="2"/>
        <v>0</v>
      </c>
      <c r="N13" cm="1">
        <f t="array" ref="N13">_xlfn.LET(_xlpm.v,_xlfn.XLOOKUP(G13,tblValutazioni[TipoValutazione],tblValutazioni[SU],""),IF(_xlpm.v="","",_xlpm.v))</f>
        <v>2</v>
      </c>
      <c r="O13" s="18">
        <f>IF(_xlfn.XLOOKUP($A13, tblRisposte[ItemKey], tblRisposte[Valore], "")="Soddisfacente","X",0)</f>
        <v>0</v>
      </c>
      <c r="P13" s="1">
        <f t="shared" si="3"/>
        <v>0</v>
      </c>
      <c r="Q13" cm="1">
        <f t="array" ref="Q13">_xlfn.LET(_xlpm.v,_xlfn.XLOOKUP(G13,tblValutazioni[TipoValutazione],tblValutazioni[IN],""),IF(_xlpm.v="","",_xlpm.v))</f>
        <v>1</v>
      </c>
      <c r="R13" s="18">
        <f>IF(_xlfn.XLOOKUP($A13, tblRisposte[ItemKey], tblRisposte[Valore], "")="Insufficiente","X",0)</f>
        <v>0</v>
      </c>
      <c r="S13" s="1">
        <f t="shared" si="4"/>
        <v>0</v>
      </c>
      <c r="T13" cm="1">
        <f t="array" ref="T13">_xlfn.LET(_xlpm.v,_xlfn.XLOOKUP(G13,tblValutazioni[TipoValutazione],tblValutazioni[NE],""),IF(_xlpm.v="","",_xlpm.v))</f>
        <v>0</v>
      </c>
      <c r="U13" s="18">
        <f>IF(_xlfn.XLOOKUP($A13, tblRisposte[ItemKey], tblRisposte[Valore], "")="Non eseguito","X",0)</f>
        <v>0</v>
      </c>
      <c r="V13" s="1">
        <f t="shared" si="5"/>
        <v>0</v>
      </c>
      <c r="W13">
        <f>COUNTIF(I13,"x")+COUNTIF(L13,"x")+COUNTIF(O13,"x")+COUNTIF(R13,"x")+COUNTIF(U13,"x")</f>
        <v>0</v>
      </c>
      <c r="X13" t="str">
        <f>IF(COUNTIF(I13:U13,"X")=1,"OK","errore")</f>
        <v>errore</v>
      </c>
      <c r="Y13" t="str">
        <f>IF(D13="SEP",IF(I13="x",H13,IF(L13="X",K13,IF(O13="x",N13,IF(R13="X",Q13,IF(U13="X",T13,""))))),"")</f>
        <v/>
      </c>
    </row>
    <row r="14" spans="1:31" ht="15" customHeight="1">
      <c r="A14" t="str">
        <f>IF(G14&lt;&gt;"",ScenaAttiva&amp;"_"&amp;AB$4&amp;TEXT(COUNTIF($G$3:G14,"&lt;&gt;"),"0000"),"")</f>
        <v>A_OVE0011</v>
      </c>
      <c r="B14">
        <f>IF(A14&lt;&gt;"",SquadraAttiva,"")</f>
        <v>3</v>
      </c>
      <c r="C14" t="str">
        <f t="shared" si="0"/>
        <v>3-A_OVE0011</v>
      </c>
      <c r="D14">
        <f>IFERROR(_xlfn.XLOOKUP(C14,tblRisposte[idValutazione],tblRisposte[Valore],""),"")</f>
        <v>1</v>
      </c>
      <c r="F14" s="78" t="s">
        <v>185</v>
      </c>
      <c r="G14" t="s">
        <v>35</v>
      </c>
      <c r="H14" cm="1">
        <f t="array" ref="H14">_xlfn.LET(_xlpm.v,_xlfn.XLOOKUP(G14,tblValutazioni[TipoValutazione],tblValutazioni[MB],""),IF(_xlpm.v="","",_xlpm.v))</f>
        <v>5</v>
      </c>
      <c r="I14" s="18">
        <f>IF(_xlfn.XLOOKUP($A14, tblRisposte[ItemKey],tblRisposte[Valore],"")="Molto bene","X",0)</f>
        <v>0</v>
      </c>
      <c r="J14" s="1">
        <f t="shared" si="1"/>
        <v>0</v>
      </c>
      <c r="K14" cm="1">
        <f t="array" ref="K14">_xlfn.LET(_xlpm.v,_xlfn.XLOOKUP(G14,tblValutazioni[TipoValutazione],tblValutazioni[BE],""),IF(_xlpm.v="","",_xlpm.v))</f>
        <v>4</v>
      </c>
      <c r="L14" s="18">
        <f>IF(_xlfn.XLOOKUP($A14, tblRisposte[ItemKey], tblRisposte[Valore], "")="Bene","X",0)</f>
        <v>0</v>
      </c>
      <c r="M14" s="1">
        <f t="shared" si="2"/>
        <v>0</v>
      </c>
      <c r="N14" cm="1">
        <f t="array" ref="N14">_xlfn.LET(_xlpm.v,_xlfn.XLOOKUP(G14,tblValutazioni[TipoValutazione],tblValutazioni[SU],""),IF(_xlpm.v="","",_xlpm.v))</f>
        <v>2</v>
      </c>
      <c r="O14" s="18">
        <f>IF(_xlfn.XLOOKUP($A14, tblRisposte[ItemKey], tblRisposte[Valore], "")="Soddisfacente","X",0)</f>
        <v>0</v>
      </c>
      <c r="P14" s="1">
        <f t="shared" si="3"/>
        <v>0</v>
      </c>
      <c r="Q14" cm="1">
        <f t="array" ref="Q14">_xlfn.LET(_xlpm.v,_xlfn.XLOOKUP(G14,tblValutazioni[TipoValutazione],tblValutazioni[IN],""),IF(_xlpm.v="","",_xlpm.v))</f>
        <v>1</v>
      </c>
      <c r="R14" s="18">
        <f>IF(_xlfn.XLOOKUP($A14, tblRisposte[ItemKey], tblRisposte[Valore], "")="Insufficiente","X",0)</f>
        <v>0</v>
      </c>
      <c r="S14" s="1">
        <f t="shared" si="4"/>
        <v>0</v>
      </c>
      <c r="T14" cm="1">
        <f t="array" ref="T14">_xlfn.LET(_xlpm.v,_xlfn.XLOOKUP(G14,tblValutazioni[TipoValutazione],tblValutazioni[NE],""),IF(_xlpm.v="","",_xlpm.v))</f>
        <v>0</v>
      </c>
      <c r="U14" s="18">
        <f>IF(_xlfn.XLOOKUP($A14, tblRisposte[ItemKey], tblRisposte[Valore], "")="Non eseguito","X",0)</f>
        <v>0</v>
      </c>
      <c r="V14" s="1">
        <f t="shared" si="5"/>
        <v>0</v>
      </c>
      <c r="W14">
        <f>COUNTIF(I14,"x")+COUNTIF(L14,"x")+COUNTIF(O14,"x")+COUNTIF(R14,"x")+COUNTIF(U14,"x")</f>
        <v>0</v>
      </c>
      <c r="X14" t="str">
        <f>IF(COUNTIF(I14:U14,"X")=1,"OK","errore")</f>
        <v>errore</v>
      </c>
      <c r="Y14" t="str">
        <f>IF(D14="SEP",IF(I14="x",H14,IF(L14="X",K14,IF(O14="x",N14,IF(R14="X",Q14,IF(U14="X",T14,""))))),"")</f>
        <v/>
      </c>
    </row>
    <row r="15" spans="1:31" ht="15" customHeight="1">
      <c r="A15" t="str">
        <f>IF(G15&lt;&gt;"",ScenaAttiva&amp;"_"&amp;AB$4&amp;TEXT(COUNTIF($G$3:G15,"&lt;&gt;"),"0000"),"")</f>
        <v>A_OVE0012</v>
      </c>
      <c r="B15">
        <f>IF(A15&lt;&gt;"",SquadraAttiva,"")</f>
        <v>3</v>
      </c>
      <c r="C15" t="str">
        <f t="shared" si="0"/>
        <v>3-A_OVE0012</v>
      </c>
      <c r="D15">
        <f>IFERROR(_xlfn.XLOOKUP(C15,tblRisposte[idValutazione],tblRisposte[Valore],""),"")</f>
        <v>2</v>
      </c>
      <c r="F15" s="78" t="s">
        <v>187</v>
      </c>
      <c r="G15" t="s">
        <v>35</v>
      </c>
      <c r="H15" cm="1">
        <f t="array" ref="H15">_xlfn.LET(_xlpm.v,_xlfn.XLOOKUP(G15,tblValutazioni[TipoValutazione],tblValutazioni[MB],""),IF(_xlpm.v="","",_xlpm.v))</f>
        <v>5</v>
      </c>
      <c r="I15" s="18">
        <f>IF(_xlfn.XLOOKUP($A15, tblRisposte[ItemKey],tblRisposte[Valore],"")="Molto bene","X",0)</f>
        <v>0</v>
      </c>
      <c r="J15" s="1">
        <f t="shared" si="1"/>
        <v>0</v>
      </c>
      <c r="K15" cm="1">
        <f t="array" ref="K15">_xlfn.LET(_xlpm.v,_xlfn.XLOOKUP(G15,tblValutazioni[TipoValutazione],tblValutazioni[BE],""),IF(_xlpm.v="","",_xlpm.v))</f>
        <v>4</v>
      </c>
      <c r="L15" s="18">
        <f>IF(_xlfn.XLOOKUP($A15, tblRisposte[ItemKey], tblRisposte[Valore], "")="Bene","X",0)</f>
        <v>0</v>
      </c>
      <c r="M15" s="1">
        <f t="shared" si="2"/>
        <v>0</v>
      </c>
      <c r="N15" cm="1">
        <f t="array" ref="N15">_xlfn.LET(_xlpm.v,_xlfn.XLOOKUP(G15,tblValutazioni[TipoValutazione],tblValutazioni[SU],""),IF(_xlpm.v="","",_xlpm.v))</f>
        <v>2</v>
      </c>
      <c r="O15" s="18">
        <f>IF(_xlfn.XLOOKUP($A15, tblRisposte[ItemKey], tblRisposte[Valore], "")="Soddisfacente","X",0)</f>
        <v>0</v>
      </c>
      <c r="P15" s="1">
        <f t="shared" si="3"/>
        <v>0</v>
      </c>
      <c r="Q15" cm="1">
        <f t="array" ref="Q15">_xlfn.LET(_xlpm.v,_xlfn.XLOOKUP(G15,tblValutazioni[TipoValutazione],tblValutazioni[IN],""),IF(_xlpm.v="","",_xlpm.v))</f>
        <v>1</v>
      </c>
      <c r="R15" s="18">
        <f>IF(_xlfn.XLOOKUP($A15, tblRisposte[ItemKey], tblRisposte[Valore], "")="Insufficiente","X",0)</f>
        <v>0</v>
      </c>
      <c r="S15" s="1">
        <f t="shared" si="4"/>
        <v>0</v>
      </c>
      <c r="T15" cm="1">
        <f t="array" ref="T15">_xlfn.LET(_xlpm.v,_xlfn.XLOOKUP(G15,tblValutazioni[TipoValutazione],tblValutazioni[NE],""),IF(_xlpm.v="","",_xlpm.v))</f>
        <v>0</v>
      </c>
      <c r="U15" s="18">
        <f>IF(_xlfn.XLOOKUP($A15, tblRisposte[ItemKey], tblRisposte[Valore], "")="Non eseguito","X",0)</f>
        <v>0</v>
      </c>
      <c r="V15" s="1">
        <f t="shared" si="5"/>
        <v>0</v>
      </c>
      <c r="W15">
        <f>COUNTIF(I15,"x")+COUNTIF(L15,"x")+COUNTIF(O15,"x")+COUNTIF(R15,"x")+COUNTIF(U15,"x")</f>
        <v>0</v>
      </c>
      <c r="X15" t="str">
        <f>IF(COUNTIF(I15:U15,"X")=1,"OK","errore")</f>
        <v>errore</v>
      </c>
      <c r="Y15" t="str">
        <f>IF(D15="SEP",IF(I15="x",H15,IF(L15="X",K15,IF(O15="x",N15,IF(R15="X",Q15,IF(U15="X",T15,""))))),"")</f>
        <v/>
      </c>
    </row>
    <row r="16" spans="1:31" ht="15" customHeight="1">
      <c r="A16" t="str">
        <f>IF(G16&lt;&gt;"",ScenaAttiva&amp;"_"&amp;AB$4&amp;TEXT(COUNTIF($G$3:G16,"&lt;&gt;"),"0000"),"")</f>
        <v>A_OVE0013</v>
      </c>
      <c r="B16">
        <f>IF(A16&lt;&gt;"",SquadraAttiva,"")</f>
        <v>3</v>
      </c>
      <c r="C16" t="str">
        <f t="shared" si="0"/>
        <v>3-A_OVE0013</v>
      </c>
      <c r="D16">
        <f>IFERROR(_xlfn.XLOOKUP(C16,tblRisposte[idValutazione],tblRisposte[Valore],""),"")</f>
        <v>0</v>
      </c>
      <c r="F16" s="78" t="s">
        <v>189</v>
      </c>
      <c r="G16" t="s">
        <v>35</v>
      </c>
      <c r="H16" cm="1">
        <f t="array" ref="H16">_xlfn.LET(_xlpm.v,_xlfn.XLOOKUP(G16,tblValutazioni[TipoValutazione],tblValutazioni[MB],""),IF(_xlpm.v="","",_xlpm.v))</f>
        <v>5</v>
      </c>
      <c r="I16" s="18">
        <f>IF(_xlfn.XLOOKUP($A16, tblRisposte[ItemKey],tblRisposte[Valore],"")="Molto bene","X",0)</f>
        <v>0</v>
      </c>
      <c r="J16" s="1">
        <f t="shared" si="1"/>
        <v>0</v>
      </c>
      <c r="K16" cm="1">
        <f t="array" ref="K16">_xlfn.LET(_xlpm.v,_xlfn.XLOOKUP(G16,tblValutazioni[TipoValutazione],tblValutazioni[BE],""),IF(_xlpm.v="","",_xlpm.v))</f>
        <v>4</v>
      </c>
      <c r="L16" s="18">
        <f>IF(_xlfn.XLOOKUP($A16, tblRisposte[ItemKey], tblRisposte[Valore], "")="Bene","X",0)</f>
        <v>0</v>
      </c>
      <c r="M16" s="1">
        <f t="shared" si="2"/>
        <v>0</v>
      </c>
      <c r="N16" cm="1">
        <f t="array" ref="N16">_xlfn.LET(_xlpm.v,_xlfn.XLOOKUP(G16,tblValutazioni[TipoValutazione],tblValutazioni[SU],""),IF(_xlpm.v="","",_xlpm.v))</f>
        <v>2</v>
      </c>
      <c r="O16" s="18">
        <f>IF(_xlfn.XLOOKUP($A16, tblRisposte[ItemKey], tblRisposte[Valore], "")="Soddisfacente","X",0)</f>
        <v>0</v>
      </c>
      <c r="P16" s="1">
        <f t="shared" si="3"/>
        <v>0</v>
      </c>
      <c r="Q16" cm="1">
        <f t="array" ref="Q16">_xlfn.LET(_xlpm.v,_xlfn.XLOOKUP(G16,tblValutazioni[TipoValutazione],tblValutazioni[IN],""),IF(_xlpm.v="","",_xlpm.v))</f>
        <v>1</v>
      </c>
      <c r="R16" s="18">
        <f>IF(_xlfn.XLOOKUP($A16, tblRisposte[ItemKey], tblRisposte[Valore], "")="Insufficiente","X",0)</f>
        <v>0</v>
      </c>
      <c r="S16" s="1">
        <f t="shared" si="4"/>
        <v>0</v>
      </c>
      <c r="T16" cm="1">
        <f t="array" ref="T16">_xlfn.LET(_xlpm.v,_xlfn.XLOOKUP(G16,tblValutazioni[TipoValutazione],tblValutazioni[NE],""),IF(_xlpm.v="","",_xlpm.v))</f>
        <v>0</v>
      </c>
      <c r="U16" s="18">
        <f>IF(_xlfn.XLOOKUP($A16, tblRisposte[ItemKey], tblRisposte[Valore], "")="Non eseguito","X",0)</f>
        <v>0</v>
      </c>
      <c r="V16" s="1">
        <f t="shared" si="5"/>
        <v>0</v>
      </c>
      <c r="W16">
        <f>COUNTIF(I16,"x")+COUNTIF(L16,"x")+COUNTIF(O16,"x")+COUNTIF(R16,"x")+COUNTIF(U16,"x")</f>
        <v>0</v>
      </c>
      <c r="X16" t="str">
        <f>IF(COUNTIF(I16:U16,"X")=1,"OK","errore")</f>
        <v>errore</v>
      </c>
      <c r="Y16" t="str">
        <f>IF(D16="SEP",IF(I16="x",H16,IF(L16="X",K16,IF(O16="x",N16,IF(R16="X",Q16,IF(U16="X",T16,""))))),"")</f>
        <v/>
      </c>
    </row>
    <row r="17" spans="1:25" ht="15" customHeight="1">
      <c r="A17" t="str">
        <f>IF(G17&lt;&gt;"",ScenaAttiva&amp;"_"&amp;AB$4&amp;TEXT(COUNTIF($G$3:G17,"&lt;&gt;"),"0000"),"")</f>
        <v>A_OVE0014</v>
      </c>
      <c r="B17">
        <f>IF(A17&lt;&gt;"",SquadraAttiva,"")</f>
        <v>3</v>
      </c>
      <c r="C17" t="str">
        <f t="shared" si="0"/>
        <v>3-A_OVE0014</v>
      </c>
      <c r="D17">
        <f>IFERROR(_xlfn.XLOOKUP(C17,tblRisposte[idValutazione],tblRisposte[Valore],""),"")</f>
        <v>2</v>
      </c>
      <c r="F17" s="78" t="s">
        <v>191</v>
      </c>
      <c r="G17" t="s">
        <v>35</v>
      </c>
      <c r="H17" cm="1">
        <f t="array" ref="H17">_xlfn.LET(_xlpm.v,_xlfn.XLOOKUP(G17,tblValutazioni[TipoValutazione],tblValutazioni[MB],""),IF(_xlpm.v="","",_xlpm.v))</f>
        <v>5</v>
      </c>
      <c r="I17" s="18">
        <f>IF(_xlfn.XLOOKUP($A17, tblRisposte[ItemKey],tblRisposte[Valore],"")="Molto bene","X",0)</f>
        <v>0</v>
      </c>
      <c r="J17" s="1">
        <f t="shared" si="1"/>
        <v>0</v>
      </c>
      <c r="K17" cm="1">
        <f t="array" ref="K17">_xlfn.LET(_xlpm.v,_xlfn.XLOOKUP(G17,tblValutazioni[TipoValutazione],tblValutazioni[BE],""),IF(_xlpm.v="","",_xlpm.v))</f>
        <v>4</v>
      </c>
      <c r="L17" s="18">
        <f>IF(_xlfn.XLOOKUP($A17, tblRisposte[ItemKey], tblRisposte[Valore], "")="Bene","X",0)</f>
        <v>0</v>
      </c>
      <c r="M17" s="1">
        <f t="shared" si="2"/>
        <v>0</v>
      </c>
      <c r="N17" cm="1">
        <f t="array" ref="N17">_xlfn.LET(_xlpm.v,_xlfn.XLOOKUP(G17,tblValutazioni[TipoValutazione],tblValutazioni[SU],""),IF(_xlpm.v="","",_xlpm.v))</f>
        <v>2</v>
      </c>
      <c r="O17" s="18">
        <f>IF(_xlfn.XLOOKUP($A17, tblRisposte[ItemKey], tblRisposte[Valore], "")="Soddisfacente","X",0)</f>
        <v>0</v>
      </c>
      <c r="P17" s="1">
        <f t="shared" si="3"/>
        <v>0</v>
      </c>
      <c r="Q17" cm="1">
        <f t="array" ref="Q17">_xlfn.LET(_xlpm.v,_xlfn.XLOOKUP(G17,tblValutazioni[TipoValutazione],tblValutazioni[IN],""),IF(_xlpm.v="","",_xlpm.v))</f>
        <v>1</v>
      </c>
      <c r="R17" s="18">
        <f>IF(_xlfn.XLOOKUP($A17, tblRisposte[ItemKey], tblRisposte[Valore], "")="Insufficiente","X",0)</f>
        <v>0</v>
      </c>
      <c r="S17" s="1">
        <f t="shared" si="4"/>
        <v>0</v>
      </c>
      <c r="T17" cm="1">
        <f t="array" ref="T17">_xlfn.LET(_xlpm.v,_xlfn.XLOOKUP(G17,tblValutazioni[TipoValutazione],tblValutazioni[NE],""),IF(_xlpm.v="","",_xlpm.v))</f>
        <v>0</v>
      </c>
      <c r="U17" s="18">
        <f>IF(_xlfn.XLOOKUP($A17, tblRisposte[ItemKey], tblRisposte[Valore], "")="Non eseguito","X",0)</f>
        <v>0</v>
      </c>
      <c r="V17" s="1">
        <f t="shared" si="5"/>
        <v>0</v>
      </c>
      <c r="W17">
        <f>COUNTIF(I17,"x")+COUNTIF(L17,"x")+COUNTIF(O17,"x")+COUNTIF(R17,"x")+COUNTIF(U17,"x")</f>
        <v>0</v>
      </c>
      <c r="X17" t="str">
        <f>IF(COUNTIF(I17:U17,"X")=1,"OK","errore")</f>
        <v>errore</v>
      </c>
      <c r="Y17" t="str">
        <f>IF(D17="SEP",IF(I17="x",H17,IF(L17="X",K17,IF(O17="x",N17,IF(R17="X",Q17,IF(U17="X",T17,""))))),"")</f>
        <v/>
      </c>
    </row>
    <row r="18" spans="1:25" ht="15" customHeight="1">
      <c r="A18" t="str">
        <f>IF(G18&lt;&gt;"",ScenaAttiva&amp;"_"&amp;AB$4&amp;TEXT(COUNTIF($G$3:G18,"&lt;&gt;"),"0000"),"")</f>
        <v>A_OVE0015</v>
      </c>
      <c r="B18">
        <f>IF(A18&lt;&gt;"",SquadraAttiva,"")</f>
        <v>3</v>
      </c>
      <c r="C18" t="str">
        <f t="shared" si="0"/>
        <v>3-A_OVE0015</v>
      </c>
      <c r="D18">
        <f>IFERROR(_xlfn.XLOOKUP(C18,tblRisposte[idValutazione],tblRisposte[Valore],""),"")</f>
        <v>1</v>
      </c>
      <c r="F18" s="78" t="s">
        <v>193</v>
      </c>
      <c r="G18" t="s">
        <v>36</v>
      </c>
      <c r="H18" cm="1">
        <f t="array" ref="H18">_xlfn.LET(_xlpm.v,_xlfn.XLOOKUP(G18,tblValutazioni[TipoValutazione],tblValutazioni[MB],""),IF(_xlpm.v="","",_xlpm.v))</f>
        <v>3</v>
      </c>
      <c r="I18" s="18">
        <f>IF(_xlfn.XLOOKUP($A18, tblRisposte[ItemKey],tblRisposte[Valore],"")="Molto bene","X",0)</f>
        <v>0</v>
      </c>
      <c r="J18" s="1">
        <f t="shared" si="1"/>
        <v>0</v>
      </c>
      <c r="K18" t="str" cm="1">
        <f t="array" ref="K18">_xlfn.LET(_xlpm.v,_xlfn.XLOOKUP(G18,tblValutazioni[TipoValutazione],tblValutazioni[BE],""),IF(_xlpm.v="","",_xlpm.v))</f>
        <v/>
      </c>
      <c r="L18" s="18">
        <f>IF(_xlfn.XLOOKUP($A18, tblRisposte[ItemKey], tblRisposte[Valore], "")="Bene","X",0)</f>
        <v>0</v>
      </c>
      <c r="M18" s="1">
        <f t="shared" si="2"/>
        <v>0</v>
      </c>
      <c r="N18" cm="1">
        <f t="array" ref="N18">_xlfn.LET(_xlpm.v,_xlfn.XLOOKUP(G18,tblValutazioni[TipoValutazione],tblValutazioni[SU],""),IF(_xlpm.v="","",_xlpm.v))</f>
        <v>1</v>
      </c>
      <c r="O18" s="18">
        <f>IF(_xlfn.XLOOKUP($A18, tblRisposte[ItemKey], tblRisposte[Valore], "")="Soddisfacente","X",0)</f>
        <v>0</v>
      </c>
      <c r="P18" s="1">
        <f t="shared" si="3"/>
        <v>0</v>
      </c>
      <c r="Q18" t="str" cm="1">
        <f t="array" ref="Q18">_xlfn.LET(_xlpm.v,_xlfn.XLOOKUP(G18,tblValutazioni[TipoValutazione],tblValutazioni[IN],""),IF(_xlpm.v="","",_xlpm.v))</f>
        <v/>
      </c>
      <c r="R18" s="18">
        <f>IF(_xlfn.XLOOKUP($A18, tblRisposte[ItemKey], tblRisposte[Valore], "")="Insufficiente","X",0)</f>
        <v>0</v>
      </c>
      <c r="S18" s="1">
        <f t="shared" si="4"/>
        <v>0</v>
      </c>
      <c r="T18" cm="1">
        <f t="array" ref="T18">_xlfn.LET(_xlpm.v,_xlfn.XLOOKUP(G18,tblValutazioni[TipoValutazione],tblValutazioni[NE],""),IF(_xlpm.v="","",_xlpm.v))</f>
        <v>0</v>
      </c>
      <c r="U18" s="18">
        <f>IF(_xlfn.XLOOKUP($A18, tblRisposte[ItemKey], tblRisposte[Valore], "")="Non eseguito","X",0)</f>
        <v>0</v>
      </c>
      <c r="V18" s="1">
        <f t="shared" si="5"/>
        <v>0</v>
      </c>
      <c r="W18">
        <f>COUNTIF(I18,"x")+COUNTIF(L18,"x")+COUNTIF(O18,"x")+COUNTIF(R18,"x")+COUNTIF(U18,"x")</f>
        <v>0</v>
      </c>
      <c r="X18" t="str">
        <f>IF(COUNTIF(I18:U18,"X")=1,"OK","errore")</f>
        <v>errore</v>
      </c>
      <c r="Y18" t="str">
        <f>IF(D18="SEP",IF(I18="x",H18,IF(L18="X",K18,IF(O18="x",N18,IF(R18="X",Q18,IF(U18="X",T18,""))))),"")</f>
        <v/>
      </c>
    </row>
    <row r="19" spans="1:25" ht="15" customHeight="1">
      <c r="A19" t="str">
        <f>IF(G19&lt;&gt;"",ScenaAttiva&amp;"_"&amp;AB$4&amp;TEXT(COUNTIF($G$3:G19,"&lt;&gt;"),"0000"),"")</f>
        <v>A_OVE0016</v>
      </c>
      <c r="B19">
        <f>IF(A19&lt;&gt;"",SquadraAttiva,"")</f>
        <v>3</v>
      </c>
      <c r="C19" t="str">
        <f t="shared" si="0"/>
        <v>3-A_OVE0016</v>
      </c>
      <c r="D19">
        <f>IFERROR(_xlfn.XLOOKUP(C19,tblRisposte[idValutazione],tblRisposte[Valore],""),"")</f>
        <v>2</v>
      </c>
      <c r="F19" s="78" t="s">
        <v>195</v>
      </c>
      <c r="G19" t="s">
        <v>35</v>
      </c>
      <c r="H19" cm="1">
        <f t="array" ref="H19">_xlfn.LET(_xlpm.v,_xlfn.XLOOKUP(G19,tblValutazioni[TipoValutazione],tblValutazioni[MB],""),IF(_xlpm.v="","",_xlpm.v))</f>
        <v>5</v>
      </c>
      <c r="I19" s="18">
        <f>IF(_xlfn.XLOOKUP($A19, tblRisposte[ItemKey],tblRisposte[Valore],"")="Molto bene","X",0)</f>
        <v>0</v>
      </c>
      <c r="J19" s="1">
        <f t="shared" si="1"/>
        <v>0</v>
      </c>
      <c r="K19" cm="1">
        <f t="array" ref="K19">_xlfn.LET(_xlpm.v,_xlfn.XLOOKUP(G19,tblValutazioni[TipoValutazione],tblValutazioni[BE],""),IF(_xlpm.v="","",_xlpm.v))</f>
        <v>4</v>
      </c>
      <c r="L19" s="18">
        <f>IF(_xlfn.XLOOKUP($A19, tblRisposte[ItemKey], tblRisposte[Valore], "")="Bene","X",0)</f>
        <v>0</v>
      </c>
      <c r="M19" s="1">
        <f t="shared" si="2"/>
        <v>0</v>
      </c>
      <c r="N19" cm="1">
        <f t="array" ref="N19">_xlfn.LET(_xlpm.v,_xlfn.XLOOKUP(G19,tblValutazioni[TipoValutazione],tblValutazioni[SU],""),IF(_xlpm.v="","",_xlpm.v))</f>
        <v>2</v>
      </c>
      <c r="O19" s="18">
        <f>IF(_xlfn.XLOOKUP($A19, tblRisposte[ItemKey], tblRisposte[Valore], "")="Soddisfacente","X",0)</f>
        <v>0</v>
      </c>
      <c r="P19" s="1">
        <f t="shared" si="3"/>
        <v>0</v>
      </c>
      <c r="Q19" cm="1">
        <f t="array" ref="Q19">_xlfn.LET(_xlpm.v,_xlfn.XLOOKUP(G19,tblValutazioni[TipoValutazione],tblValutazioni[IN],""),IF(_xlpm.v="","",_xlpm.v))</f>
        <v>1</v>
      </c>
      <c r="R19" s="18">
        <f>IF(_xlfn.XLOOKUP($A19, tblRisposte[ItemKey], tblRisposte[Valore], "")="Insufficiente","X",0)</f>
        <v>0</v>
      </c>
      <c r="S19" s="1">
        <f t="shared" si="4"/>
        <v>0</v>
      </c>
      <c r="T19" cm="1">
        <f t="array" ref="T19">_xlfn.LET(_xlpm.v,_xlfn.XLOOKUP(G19,tblValutazioni[TipoValutazione],tblValutazioni[NE],""),IF(_xlpm.v="","",_xlpm.v))</f>
        <v>0</v>
      </c>
      <c r="U19" s="18">
        <f>IF(_xlfn.XLOOKUP($A19, tblRisposte[ItemKey], tblRisposte[Valore], "")="Non eseguito","X",0)</f>
        <v>0</v>
      </c>
      <c r="V19" s="1">
        <f t="shared" si="5"/>
        <v>0</v>
      </c>
      <c r="W19">
        <f>COUNTIF(I19,"x")+COUNTIF(L19,"x")+COUNTIF(O19,"x")+COUNTIF(R19,"x")+COUNTIF(U19,"x")</f>
        <v>0</v>
      </c>
      <c r="X19" t="str">
        <f>IF(COUNTIF(I19:U19,"X")=1,"OK","errore")</f>
        <v>errore</v>
      </c>
      <c r="Y19" t="str">
        <f>IF(D19="SEP",IF(I19="x",H19,IF(L19="X",K19,IF(O19="x",N19,IF(R19="X",Q19,IF(U19="X",T19,""))))),"")</f>
        <v/>
      </c>
    </row>
    <row r="20" spans="1:25" ht="15" customHeight="1">
      <c r="A20" t="str">
        <f>IF(G20&lt;&gt;"",ScenaAttiva&amp;"_"&amp;AB$4&amp;TEXT(COUNTIF($G$3:G20,"&lt;&gt;"),"0000"),"")</f>
        <v>A_OVE0017</v>
      </c>
      <c r="B20">
        <f>IF(A20&lt;&gt;"",SquadraAttiva,"")</f>
        <v>3</v>
      </c>
      <c r="C20" t="str">
        <f t="shared" si="0"/>
        <v>3-A_OVE0017</v>
      </c>
      <c r="D20">
        <f>IFERROR(_xlfn.XLOOKUP(C20,tblRisposte[idValutazione],tblRisposte[Valore],""),"")</f>
        <v>1</v>
      </c>
      <c r="F20" s="78" t="s">
        <v>197</v>
      </c>
      <c r="G20" t="s">
        <v>36</v>
      </c>
      <c r="H20" cm="1">
        <f t="array" ref="H20">_xlfn.LET(_xlpm.v,_xlfn.XLOOKUP(G20,tblValutazioni[TipoValutazione],tblValutazioni[MB],""),IF(_xlpm.v="","",_xlpm.v))</f>
        <v>3</v>
      </c>
      <c r="I20" s="18">
        <f>IF(_xlfn.XLOOKUP($A20, tblRisposte[ItemKey],tblRisposte[Valore],"")="Molto bene","X",0)</f>
        <v>0</v>
      </c>
      <c r="J20" s="1">
        <f t="shared" si="1"/>
        <v>0</v>
      </c>
      <c r="K20" t="str" cm="1">
        <f t="array" ref="K20">_xlfn.LET(_xlpm.v,_xlfn.XLOOKUP(G20,tblValutazioni[TipoValutazione],tblValutazioni[BE],""),IF(_xlpm.v="","",_xlpm.v))</f>
        <v/>
      </c>
      <c r="L20" s="18">
        <f>IF(_xlfn.XLOOKUP($A20, tblRisposte[ItemKey], tblRisposte[Valore], "")="Bene","X",0)</f>
        <v>0</v>
      </c>
      <c r="M20" s="1">
        <f t="shared" si="2"/>
        <v>0</v>
      </c>
      <c r="N20" cm="1">
        <f t="array" ref="N20">_xlfn.LET(_xlpm.v,_xlfn.XLOOKUP(G20,tblValutazioni[TipoValutazione],tblValutazioni[SU],""),IF(_xlpm.v="","",_xlpm.v))</f>
        <v>1</v>
      </c>
      <c r="O20" s="18">
        <f>IF(_xlfn.XLOOKUP($A20, tblRisposte[ItemKey], tblRisposte[Valore], "")="Soddisfacente","X",0)</f>
        <v>0</v>
      </c>
      <c r="P20" s="1">
        <f t="shared" si="3"/>
        <v>0</v>
      </c>
      <c r="Q20" t="str" cm="1">
        <f t="array" ref="Q20">_xlfn.LET(_xlpm.v,_xlfn.XLOOKUP(G20,tblValutazioni[TipoValutazione],tblValutazioni[IN],""),IF(_xlpm.v="","",_xlpm.v))</f>
        <v/>
      </c>
      <c r="R20" s="18">
        <f>IF(_xlfn.XLOOKUP($A20, tblRisposte[ItemKey], tblRisposte[Valore], "")="Insufficiente","X",0)</f>
        <v>0</v>
      </c>
      <c r="S20" s="1">
        <f t="shared" si="4"/>
        <v>0</v>
      </c>
      <c r="T20" cm="1">
        <f t="array" ref="T20">_xlfn.LET(_xlpm.v,_xlfn.XLOOKUP(G20,tblValutazioni[TipoValutazione],tblValutazioni[NE],""),IF(_xlpm.v="","",_xlpm.v))</f>
        <v>0</v>
      </c>
      <c r="U20" s="18">
        <f>IF(_xlfn.XLOOKUP($A20, tblRisposte[ItemKey], tblRisposte[Valore], "")="Non eseguito","X",0)</f>
        <v>0</v>
      </c>
      <c r="V20" s="1">
        <f t="shared" si="5"/>
        <v>0</v>
      </c>
      <c r="W20">
        <f>COUNTIF(I20,"x")+COUNTIF(L20,"x")+COUNTIF(O20,"x")+COUNTIF(R20,"x")+COUNTIF(U20,"x")</f>
        <v>0</v>
      </c>
      <c r="X20" t="str">
        <f>IF(COUNTIF(I20:U20,"X")=1,"OK","errore")</f>
        <v>errore</v>
      </c>
      <c r="Y20" t="str">
        <f>IF(D20="SEP",IF(I20="x",H20,IF(L20="X",K20,IF(O20="x",N20,IF(R20="X",Q20,IF(U20="X",T20,""))))),"")</f>
        <v/>
      </c>
    </row>
    <row r="21" spans="1:25" ht="15" customHeight="1">
      <c r="A21" t="str">
        <f>IF(G21&lt;&gt;"",ScenaAttiva&amp;"_"&amp;AB$4&amp;TEXT(COUNTIF($G$3:G21,"&lt;&gt;"),"0000"),"")</f>
        <v>A_OVE0018</v>
      </c>
      <c r="B21">
        <f>IF(A21&lt;&gt;"",SquadraAttiva,"")</f>
        <v>3</v>
      </c>
      <c r="C21" t="str">
        <f t="shared" si="0"/>
        <v>3-A_OVE0018</v>
      </c>
      <c r="D21">
        <f>IFERROR(_xlfn.XLOOKUP(C21,tblRisposte[idValutazione],tblRisposte[Valore],""),"")</f>
        <v>1</v>
      </c>
      <c r="F21" t="s">
        <v>199</v>
      </c>
      <c r="G21" t="s">
        <v>35</v>
      </c>
      <c r="H21" cm="1">
        <f t="array" ref="H21">_xlfn.LET(_xlpm.v,_xlfn.XLOOKUP(G21,tblValutazioni[TipoValutazione],tblValutazioni[MB],""),IF(_xlpm.v="","",_xlpm.v))</f>
        <v>5</v>
      </c>
      <c r="I21" s="18">
        <f>IF(_xlfn.XLOOKUP($A21, tblRisposte[ItemKey],tblRisposte[Valore],"")="Molto bene","X",0)</f>
        <v>0</v>
      </c>
      <c r="J21" s="1">
        <f t="shared" si="1"/>
        <v>0</v>
      </c>
      <c r="K21" cm="1">
        <f t="array" ref="K21">_xlfn.LET(_xlpm.v,_xlfn.XLOOKUP(G21,tblValutazioni[TipoValutazione],tblValutazioni[BE],""),IF(_xlpm.v="","",_xlpm.v))</f>
        <v>4</v>
      </c>
      <c r="L21" s="18">
        <f>IF(_xlfn.XLOOKUP($A21, tblRisposte[ItemKey], tblRisposte[Valore], "")="Bene","X",0)</f>
        <v>0</v>
      </c>
      <c r="M21" s="1">
        <f t="shared" si="2"/>
        <v>0</v>
      </c>
      <c r="N21" cm="1">
        <f t="array" ref="N21">_xlfn.LET(_xlpm.v,_xlfn.XLOOKUP(G21,tblValutazioni[TipoValutazione],tblValutazioni[SU],""),IF(_xlpm.v="","",_xlpm.v))</f>
        <v>2</v>
      </c>
      <c r="O21" s="18">
        <f>IF(_xlfn.XLOOKUP($A21, tblRisposte[ItemKey], tblRisposte[Valore], "")="Soddisfacente","X",0)</f>
        <v>0</v>
      </c>
      <c r="P21" s="1">
        <f t="shared" si="3"/>
        <v>0</v>
      </c>
      <c r="Q21" cm="1">
        <f t="array" ref="Q21">_xlfn.LET(_xlpm.v,_xlfn.XLOOKUP(G21,tblValutazioni[TipoValutazione],tblValutazioni[IN],""),IF(_xlpm.v="","",_xlpm.v))</f>
        <v>1</v>
      </c>
      <c r="R21" s="18">
        <f>IF(_xlfn.XLOOKUP($A21, tblRisposte[ItemKey], tblRisposte[Valore], "")="Insufficiente","X",0)</f>
        <v>0</v>
      </c>
      <c r="S21" s="1">
        <f t="shared" si="4"/>
        <v>0</v>
      </c>
      <c r="T21" cm="1">
        <f t="array" ref="T21">_xlfn.LET(_xlpm.v,_xlfn.XLOOKUP(G21,tblValutazioni[TipoValutazione],tblValutazioni[NE],""),IF(_xlpm.v="","",_xlpm.v))</f>
        <v>0</v>
      </c>
      <c r="U21" s="18">
        <f>IF(_xlfn.XLOOKUP($A21, tblRisposte[ItemKey], tblRisposte[Valore], "")="Non eseguito","X",0)</f>
        <v>0</v>
      </c>
      <c r="V21" s="1">
        <f t="shared" si="5"/>
        <v>0</v>
      </c>
      <c r="W21">
        <f>COUNTIF(I21,"x")+COUNTIF(L21,"x")+COUNTIF(O21,"x")+COUNTIF(R21,"x")+COUNTIF(U21,"x")</f>
        <v>0</v>
      </c>
      <c r="X21" t="str">
        <f>IF(COUNTIF(I21:U21,"X")=1,"OK","errore")</f>
        <v>errore</v>
      </c>
      <c r="Y21" t="str">
        <f>IF(D21="SEP",IF(I21="x",H21,IF(L21="X",K21,IF(O21="x",N21,IF(R21="X",Q21,IF(U21="X",T21,""))))),"")</f>
        <v/>
      </c>
    </row>
    <row r="22" spans="1:25" ht="15" customHeight="1">
      <c r="A22" t="str">
        <f>IF(G22&lt;&gt;"",ScenaAttiva&amp;"_"&amp;AB$4&amp;TEXT(COUNTIF($G$3:G22,"&lt;&gt;"),"0000"),"")</f>
        <v>A_OVE0019</v>
      </c>
      <c r="B22">
        <f>IF(A22&lt;&gt;"",SquadraAttiva,"")</f>
        <v>3</v>
      </c>
      <c r="C22" t="str">
        <f t="shared" si="0"/>
        <v>3-A_OVE0019</v>
      </c>
      <c r="D22">
        <f>IFERROR(_xlfn.XLOOKUP(C22,tblRisposte[idValutazione],tblRisposte[Valore],""),"")</f>
        <v>1</v>
      </c>
      <c r="F22" t="s">
        <v>201</v>
      </c>
      <c r="G22" t="s">
        <v>35</v>
      </c>
      <c r="H22" cm="1">
        <f t="array" ref="H22">_xlfn.LET(_xlpm.v,_xlfn.XLOOKUP(G22,tblValutazioni[TipoValutazione],tblValutazioni[MB],""),IF(_xlpm.v="","",_xlpm.v))</f>
        <v>5</v>
      </c>
      <c r="I22" s="18">
        <f>IF(_xlfn.XLOOKUP($A22, tblRisposte[ItemKey],tblRisposte[Valore],"")="Molto bene","X",0)</f>
        <v>0</v>
      </c>
      <c r="J22" s="1">
        <f t="shared" si="1"/>
        <v>0</v>
      </c>
      <c r="K22" cm="1">
        <f t="array" ref="K22">_xlfn.LET(_xlpm.v,_xlfn.XLOOKUP(G22,tblValutazioni[TipoValutazione],tblValutazioni[BE],""),IF(_xlpm.v="","",_xlpm.v))</f>
        <v>4</v>
      </c>
      <c r="L22" s="18">
        <f>IF(_xlfn.XLOOKUP($A22, tblRisposte[ItemKey], tblRisposte[Valore], "")="Bene","X",0)</f>
        <v>0</v>
      </c>
      <c r="M22" s="1">
        <f t="shared" si="2"/>
        <v>0</v>
      </c>
      <c r="N22" cm="1">
        <f t="array" ref="N22">_xlfn.LET(_xlpm.v,_xlfn.XLOOKUP(G22,tblValutazioni[TipoValutazione],tblValutazioni[SU],""),IF(_xlpm.v="","",_xlpm.v))</f>
        <v>2</v>
      </c>
      <c r="O22" s="18">
        <f>IF(_xlfn.XLOOKUP($A22, tblRisposte[ItemKey], tblRisposte[Valore], "")="Soddisfacente","X",0)</f>
        <v>0</v>
      </c>
      <c r="P22" s="1">
        <f t="shared" si="3"/>
        <v>0</v>
      </c>
      <c r="Q22" cm="1">
        <f t="array" ref="Q22">_xlfn.LET(_xlpm.v,_xlfn.XLOOKUP(G22,tblValutazioni[TipoValutazione],tblValutazioni[IN],""),IF(_xlpm.v="","",_xlpm.v))</f>
        <v>1</v>
      </c>
      <c r="R22" s="18">
        <f>IF(_xlfn.XLOOKUP($A22, tblRisposte[ItemKey], tblRisposte[Valore], "")="Insufficiente","X",0)</f>
        <v>0</v>
      </c>
      <c r="S22" s="1">
        <f t="shared" si="4"/>
        <v>0</v>
      </c>
      <c r="T22" cm="1">
        <f t="array" ref="T22">_xlfn.LET(_xlpm.v,_xlfn.XLOOKUP(G22,tblValutazioni[TipoValutazione],tblValutazioni[NE],""),IF(_xlpm.v="","",_xlpm.v))</f>
        <v>0</v>
      </c>
      <c r="U22" s="18">
        <f>IF(_xlfn.XLOOKUP($A22, tblRisposte[ItemKey], tblRisposte[Valore], "")="Non eseguito","X",0)</f>
        <v>0</v>
      </c>
      <c r="V22" s="1">
        <f t="shared" si="5"/>
        <v>0</v>
      </c>
      <c r="W22">
        <f>COUNTIF(I22,"x")+COUNTIF(L22,"x")+COUNTIF(O22,"x")+COUNTIF(R22,"x")+COUNTIF(U22,"x")</f>
        <v>0</v>
      </c>
      <c r="X22" t="str">
        <f>IF(COUNTIF(I22:U22,"X")=1,"OK","errore")</f>
        <v>errore</v>
      </c>
      <c r="Y22" t="str">
        <f>IF(D22="SEP",IF(I22="x",H22,IF(L22="X",K22,IF(O22="x",N22,IF(R22="X",Q22,IF(U22="X",T22,""))))),"")</f>
        <v/>
      </c>
    </row>
    <row r="23" spans="1:25" ht="15" customHeight="1">
      <c r="A23" t="str">
        <f>IF(G23&lt;&gt;"",ScenaAttiva&amp;"_"&amp;AB$4&amp;TEXT(COUNTIF($G$3:G23,"&lt;&gt;"),"0000"),"")</f>
        <v/>
      </c>
      <c r="B23" t="str">
        <f>IF(A23&lt;&gt;"",SquadraAttiva,"")</f>
        <v/>
      </c>
      <c r="C23" t="str">
        <f t="shared" si="0"/>
        <v/>
      </c>
      <c r="D23" t="str">
        <f>IFERROR(_xlfn.XLOOKUP(C23,tblRisposte[idValutazione],tblRisposte[Valore],""),"")</f>
        <v/>
      </c>
      <c r="F23" s="26" t="s">
        <v>203</v>
      </c>
      <c r="H23" t="str" cm="1">
        <f t="array" ref="H23">_xlfn.LET(_xlpm.v,_xlfn.XLOOKUP(G23,tblValutazioni[TipoValutazione],tblValutazioni[MB],""),IF(_xlpm.v="","",_xlpm.v))</f>
        <v/>
      </c>
      <c r="I23" s="18">
        <f>IF(_xlfn.XLOOKUP($A23, tblRisposte[ItemKey],tblRisposte[Valore],"")="Molto bene","X",0)</f>
        <v>0</v>
      </c>
      <c r="J23" s="1">
        <f t="shared" si="1"/>
        <v>0</v>
      </c>
      <c r="K23" t="str" cm="1">
        <f t="array" ref="K23">_xlfn.LET(_xlpm.v,_xlfn.XLOOKUP(G23,tblValutazioni[TipoValutazione],tblValutazioni[BE],""),IF(_xlpm.v="","",_xlpm.v))</f>
        <v/>
      </c>
      <c r="L23" s="18">
        <f>IF(_xlfn.XLOOKUP($A23, tblRisposte[ItemKey], tblRisposte[Valore], "")="Bene","X",0)</f>
        <v>0</v>
      </c>
      <c r="M23" s="1">
        <f t="shared" si="2"/>
        <v>0</v>
      </c>
      <c r="N23" t="str" cm="1">
        <f t="array" ref="N23">_xlfn.LET(_xlpm.v,_xlfn.XLOOKUP(G23,tblValutazioni[TipoValutazione],tblValutazioni[SU],""),IF(_xlpm.v="","",_xlpm.v))</f>
        <v/>
      </c>
      <c r="O23" s="18">
        <f>IF(_xlfn.XLOOKUP($A23, tblRisposte[ItemKey], tblRisposte[Valore], "")="Soddisfacente","X",0)</f>
        <v>0</v>
      </c>
      <c r="P23" s="1">
        <f t="shared" si="3"/>
        <v>0</v>
      </c>
      <c r="Q23" t="str" cm="1">
        <f t="array" ref="Q23">_xlfn.LET(_xlpm.v,_xlfn.XLOOKUP(G23,tblValutazioni[TipoValutazione],tblValutazioni[IN],""),IF(_xlpm.v="","",_xlpm.v))</f>
        <v/>
      </c>
      <c r="R23" s="18">
        <f>IF(_xlfn.XLOOKUP($A23, tblRisposte[ItemKey], tblRisposte[Valore], "")="Insufficiente","X",0)</f>
        <v>0</v>
      </c>
      <c r="S23" s="1">
        <f t="shared" si="4"/>
        <v>0</v>
      </c>
      <c r="T23" t="str" cm="1">
        <f t="array" ref="T23">_xlfn.LET(_xlpm.v,_xlfn.XLOOKUP(G23,tblValutazioni[TipoValutazione],tblValutazioni[NE],""),IF(_xlpm.v="","",_xlpm.v))</f>
        <v/>
      </c>
      <c r="U23" s="18">
        <f>IF(_xlfn.XLOOKUP($A23, tblRisposte[ItemKey], tblRisposte[Valore], "")="Non eseguito","X",0)</f>
        <v>0</v>
      </c>
      <c r="V23" s="1">
        <f t="shared" si="5"/>
        <v>0</v>
      </c>
      <c r="W23">
        <f>COUNTIF(I23,"x")+COUNTIF(L23,"x")+COUNTIF(O23,"x")+COUNTIF(R23,"x")+COUNTIF(U23,"x")</f>
        <v>0</v>
      </c>
      <c r="X23" t="str">
        <f>IF(COUNTIF(I23:U23,"X")=1,"OK","errore")</f>
        <v>errore</v>
      </c>
      <c r="Y23" t="str">
        <f>IF(D23="SEP",IF(I23="x",H23,IF(L23="X",K23,IF(O23="x",N23,IF(R23="X",Q23,IF(U23="X",T23,""))))),"")</f>
        <v/>
      </c>
    </row>
    <row r="24" spans="1:25" ht="15" customHeight="1">
      <c r="A24" t="str">
        <f>IF(G24&lt;&gt;"",ScenaAttiva&amp;"_"&amp;AB$4&amp;TEXT(COUNTIF($G$3:G24,"&lt;&gt;"),"0000"),"")</f>
        <v>A_OVE0020</v>
      </c>
      <c r="B24">
        <f>IF(A24&lt;&gt;"",SquadraAttiva,"")</f>
        <v>3</v>
      </c>
      <c r="C24" t="str">
        <f t="shared" si="0"/>
        <v>3-A_OVE0020</v>
      </c>
      <c r="D24">
        <f>IFERROR(_xlfn.XLOOKUP(C24,tblRisposte[idValutazione],tblRisposte[Valore],""),"")</f>
        <v>4</v>
      </c>
      <c r="E24" t="s">
        <v>653</v>
      </c>
      <c r="F24" t="s">
        <v>205</v>
      </c>
      <c r="G24" t="s">
        <v>37</v>
      </c>
      <c r="H24" cm="1">
        <f t="array" ref="H24">_xlfn.LET(_xlpm.v,_xlfn.XLOOKUP(G24,tblValutazioni[TipoValutazione],tblValutazioni[MB],""),IF(_xlpm.v="","",_xlpm.v))</f>
        <v>10</v>
      </c>
      <c r="I24" s="18">
        <f>IF(_xlfn.XLOOKUP($A24, tblRisposte[ItemKey],tblRisposte[Valore],"")="Molto bene","X",0)</f>
        <v>0</v>
      </c>
      <c r="J24" s="1">
        <f t="shared" si="1"/>
        <v>0</v>
      </c>
      <c r="K24" cm="1">
        <f t="array" ref="K24">_xlfn.LET(_xlpm.v,_xlfn.XLOOKUP(G24,tblValutazioni[TipoValutazione],tblValutazioni[BE],""),IF(_xlpm.v="","",_xlpm.v))</f>
        <v>8</v>
      </c>
      <c r="L24" s="18">
        <f>IF(_xlfn.XLOOKUP($A24, tblRisposte[ItemKey], tblRisposte[Valore], "")="Bene","X",0)</f>
        <v>0</v>
      </c>
      <c r="M24" s="1">
        <f t="shared" si="2"/>
        <v>0</v>
      </c>
      <c r="N24" cm="1">
        <f t="array" ref="N24">_xlfn.LET(_xlpm.v,_xlfn.XLOOKUP(G24,tblValutazioni[TipoValutazione],tblValutazioni[SU],""),IF(_xlpm.v="","",_xlpm.v))</f>
        <v>4</v>
      </c>
      <c r="O24" s="18">
        <f>IF(_xlfn.XLOOKUP($A24, tblRisposte[ItemKey], tblRisposte[Valore], "")="Soddisfacente","X",0)</f>
        <v>0</v>
      </c>
      <c r="P24" s="1">
        <f t="shared" si="3"/>
        <v>0</v>
      </c>
      <c r="Q24" cm="1">
        <f t="array" ref="Q24">_xlfn.LET(_xlpm.v,_xlfn.XLOOKUP(G24,tblValutazioni[TipoValutazione],tblValutazioni[IN],""),IF(_xlpm.v="","",_xlpm.v))</f>
        <v>1</v>
      </c>
      <c r="R24" s="18">
        <f>IF(_xlfn.XLOOKUP($A24, tblRisposte[ItemKey], tblRisposte[Valore], "")="Insufficiente","X",0)</f>
        <v>0</v>
      </c>
      <c r="S24" s="1">
        <f t="shared" si="4"/>
        <v>0</v>
      </c>
      <c r="T24" cm="1">
        <f t="array" ref="T24">_xlfn.LET(_xlpm.v,_xlfn.XLOOKUP(G24,tblValutazioni[TipoValutazione],tblValutazioni[NE],""),IF(_xlpm.v="","",_xlpm.v))</f>
        <v>0</v>
      </c>
      <c r="U24" s="18">
        <f>IF(_xlfn.XLOOKUP($A24, tblRisposte[ItemKey], tblRisposte[Valore], "")="Non eseguito","X",0)</f>
        <v>0</v>
      </c>
      <c r="V24" s="1">
        <f t="shared" si="5"/>
        <v>0</v>
      </c>
      <c r="W24">
        <f>COUNTIF(I24,"x")+COUNTIF(L24,"x")+COUNTIF(O24,"x")+COUNTIF(R24,"x")+COUNTIF(U24,"x")</f>
        <v>0</v>
      </c>
      <c r="X24" t="str">
        <f>IF(COUNTIF(I24:U24,"X")=1,"OK","errore")</f>
        <v>errore</v>
      </c>
      <c r="Y24" t="str">
        <f>IF(D24="SEP",IF(I24="x",H24,IF(L24="X",K24,IF(O24="x",N24,IF(R24="X",Q24,IF(U24="X",T24,""))))),"")</f>
        <v/>
      </c>
    </row>
    <row r="25" spans="1:25" ht="15" customHeight="1">
      <c r="A25" t="str">
        <f>IF(G25&lt;&gt;"",ScenaAttiva&amp;"_"&amp;AB$4&amp;TEXT(COUNTIF($G$3:G25,"&lt;&gt;"),"0000"),"")</f>
        <v>A_OVE0021</v>
      </c>
      <c r="B25">
        <f>IF(A25&lt;&gt;"",SquadraAttiva,"")</f>
        <v>3</v>
      </c>
      <c r="C25" t="str">
        <f t="shared" si="0"/>
        <v>3-A_OVE0021</v>
      </c>
      <c r="D25">
        <f>IFERROR(_xlfn.XLOOKUP(C25,tblRisposte[idValutazione],tblRisposte[Valore],""),"")</f>
        <v>2</v>
      </c>
      <c r="E25" t="s">
        <v>653</v>
      </c>
      <c r="F25" t="s">
        <v>207</v>
      </c>
      <c r="G25" t="s">
        <v>35</v>
      </c>
      <c r="H25" cm="1">
        <f t="array" ref="H25">_xlfn.LET(_xlpm.v,_xlfn.XLOOKUP(G25,tblValutazioni[TipoValutazione],tblValutazioni[MB],""),IF(_xlpm.v="","",_xlpm.v))</f>
        <v>5</v>
      </c>
      <c r="I25" s="18">
        <f>IF(_xlfn.XLOOKUP($A25, tblRisposte[ItemKey],tblRisposte[Valore],"")="Molto bene","X",0)</f>
        <v>0</v>
      </c>
      <c r="J25" s="1">
        <f t="shared" si="1"/>
        <v>0</v>
      </c>
      <c r="K25" cm="1">
        <f t="array" ref="K25">_xlfn.LET(_xlpm.v,_xlfn.XLOOKUP(G25,tblValutazioni[TipoValutazione],tblValutazioni[BE],""),IF(_xlpm.v="","",_xlpm.v))</f>
        <v>4</v>
      </c>
      <c r="L25" s="18">
        <f>IF(_xlfn.XLOOKUP($A25, tblRisposte[ItemKey], tblRisposte[Valore], "")="Bene","X",0)</f>
        <v>0</v>
      </c>
      <c r="M25" s="1">
        <f t="shared" si="2"/>
        <v>0</v>
      </c>
      <c r="N25" cm="1">
        <f t="array" ref="N25">_xlfn.LET(_xlpm.v,_xlfn.XLOOKUP(G25,tblValutazioni[TipoValutazione],tblValutazioni[SU],""),IF(_xlpm.v="","",_xlpm.v))</f>
        <v>2</v>
      </c>
      <c r="O25" s="18">
        <f>IF(_xlfn.XLOOKUP($A25, tblRisposte[ItemKey], tblRisposte[Valore], "")="Soddisfacente","X",0)</f>
        <v>0</v>
      </c>
      <c r="P25" s="1">
        <f t="shared" si="3"/>
        <v>0</v>
      </c>
      <c r="Q25" cm="1">
        <f t="array" ref="Q25">_xlfn.LET(_xlpm.v,_xlfn.XLOOKUP(G25,tblValutazioni[TipoValutazione],tblValutazioni[IN],""),IF(_xlpm.v="","",_xlpm.v))</f>
        <v>1</v>
      </c>
      <c r="R25" s="18">
        <f>IF(_xlfn.XLOOKUP($A25, tblRisposte[ItemKey], tblRisposte[Valore], "")="Insufficiente","X",0)</f>
        <v>0</v>
      </c>
      <c r="S25" s="1">
        <f t="shared" si="4"/>
        <v>0</v>
      </c>
      <c r="T25" cm="1">
        <f t="array" ref="T25">_xlfn.LET(_xlpm.v,_xlfn.XLOOKUP(G25,tblValutazioni[TipoValutazione],tblValutazioni[NE],""),IF(_xlpm.v="","",_xlpm.v))</f>
        <v>0</v>
      </c>
      <c r="U25" s="18">
        <f>IF(_xlfn.XLOOKUP($A25, tblRisposte[ItemKey], tblRisposte[Valore], "")="Non eseguito","X",0)</f>
        <v>0</v>
      </c>
      <c r="V25" s="1">
        <f t="shared" si="5"/>
        <v>0</v>
      </c>
      <c r="W25">
        <f>COUNTIF(I25,"x")+COUNTIF(L25,"x")+COUNTIF(O25,"x")+COUNTIF(R25,"x")+COUNTIF(U25,"x")</f>
        <v>0</v>
      </c>
      <c r="X25" t="str">
        <f>IF(COUNTIF(I25:U25,"X")=1,"OK","errore")</f>
        <v>errore</v>
      </c>
      <c r="Y25" t="str">
        <f>IF(D25="SEP",IF(I25="x",H25,IF(L25="X",K25,IF(O25="x",N25,IF(R25="X",Q25,IF(U25="X",T25,""))))),"")</f>
        <v/>
      </c>
    </row>
    <row r="26" spans="1:25" ht="15" customHeight="1">
      <c r="A26" t="str">
        <f>IF(G26&lt;&gt;"",ScenaAttiva&amp;"_"&amp;AB$4&amp;TEXT(COUNTIF($G$3:G26,"&lt;&gt;"),"0000"),"")</f>
        <v/>
      </c>
      <c r="B26" t="str">
        <f>IF(A26&lt;&gt;"",SquadraAttiva,"")</f>
        <v/>
      </c>
      <c r="C26" t="str">
        <f t="shared" si="0"/>
        <v/>
      </c>
      <c r="D26" t="str">
        <f>IFERROR(_xlfn.XLOOKUP(C26,tblRisposte[idValutazione],tblRisposte[Valore],""),"")</f>
        <v/>
      </c>
      <c r="H26" t="str" cm="1">
        <f t="array" ref="H26">_xlfn.LET(_xlpm.v,_xlfn.XLOOKUP(G26,tblValutazioni[TipoValutazione],tblValutazioni[MB],""),IF(_xlpm.v="","",_xlpm.v))</f>
        <v/>
      </c>
      <c r="I26" s="18">
        <f>IF(_xlfn.XLOOKUP($A26, tblRisposte[ItemKey],tblRisposte[Valore],"")="Molto bene","X",0)</f>
        <v>0</v>
      </c>
      <c r="J26" s="1">
        <f t="shared" si="1"/>
        <v>0</v>
      </c>
      <c r="K26" t="str" cm="1">
        <f t="array" ref="K26">_xlfn.LET(_xlpm.v,_xlfn.XLOOKUP(G26,tblValutazioni[TipoValutazione],tblValutazioni[BE],""),IF(_xlpm.v="","",_xlpm.v))</f>
        <v/>
      </c>
      <c r="L26" s="18">
        <f>IF(_xlfn.XLOOKUP($A26, tblRisposte[ItemKey], tblRisposte[Valore], "")="Bene","X",0)</f>
        <v>0</v>
      </c>
      <c r="M26" s="1">
        <f t="shared" si="2"/>
        <v>0</v>
      </c>
      <c r="N26" t="str" cm="1">
        <f t="array" ref="N26">_xlfn.LET(_xlpm.v,_xlfn.XLOOKUP(G26,tblValutazioni[TipoValutazione],tblValutazioni[SU],""),IF(_xlpm.v="","",_xlpm.v))</f>
        <v/>
      </c>
      <c r="O26" s="18">
        <f>IF(_xlfn.XLOOKUP($A26, tblRisposte[ItemKey], tblRisposte[Valore], "")="Soddisfacente","X",0)</f>
        <v>0</v>
      </c>
      <c r="P26" s="1">
        <f t="shared" si="3"/>
        <v>0</v>
      </c>
      <c r="Q26" t="str" cm="1">
        <f t="array" ref="Q26">_xlfn.LET(_xlpm.v,_xlfn.XLOOKUP(G26,tblValutazioni[TipoValutazione],tblValutazioni[IN],""),IF(_xlpm.v="","",_xlpm.v))</f>
        <v/>
      </c>
      <c r="R26" s="18">
        <f>IF(_xlfn.XLOOKUP($A26, tblRisposte[ItemKey], tblRisposte[Valore], "")="Insufficiente","X",0)</f>
        <v>0</v>
      </c>
      <c r="S26" s="1">
        <f t="shared" si="4"/>
        <v>0</v>
      </c>
      <c r="T26" t="str" cm="1">
        <f t="array" ref="T26">_xlfn.LET(_xlpm.v,_xlfn.XLOOKUP(G26,tblValutazioni[TipoValutazione],tblValutazioni[NE],""),IF(_xlpm.v="","",_xlpm.v))</f>
        <v/>
      </c>
      <c r="U26" s="18">
        <f>IF(_xlfn.XLOOKUP($A26, tblRisposte[ItemKey], tblRisposte[Valore], "")="Non eseguito","X",0)</f>
        <v>0</v>
      </c>
      <c r="V26" s="1">
        <f t="shared" si="5"/>
        <v>0</v>
      </c>
      <c r="W26">
        <f>COUNTIF(I26,"x")+COUNTIF(L26,"x")+COUNTIF(O26,"x")+COUNTIF(R26,"x")+COUNTIF(U26,"x")</f>
        <v>0</v>
      </c>
      <c r="X26" t="str">
        <f>IF(COUNTIF(I26:U26,"X")=1,"OK","errore")</f>
        <v>errore</v>
      </c>
      <c r="Y26" t="str">
        <f>IF(D26="SEP",IF(I26="x",H26,IF(L26="X",K26,IF(O26="x",N26,IF(R26="X",Q26,IF(U26="X",T26,""))))),"")</f>
        <v/>
      </c>
    </row>
    <row r="27" spans="1:25" ht="15" customHeight="1">
      <c r="A27" t="str">
        <f>IF(G27&lt;&gt;"",ScenaAttiva&amp;"_"&amp;AB$4&amp;TEXT(COUNTIF($G$3:G27,"&lt;&gt;"),"0000"),"")</f>
        <v/>
      </c>
      <c r="B27" t="str">
        <f>IF(A27&lt;&gt;"",SquadraAttiva,"")</f>
        <v/>
      </c>
      <c r="C27" t="str">
        <f t="shared" si="0"/>
        <v/>
      </c>
      <c r="D27" t="str">
        <f>IFERROR(_xlfn.XLOOKUP(C27,tblRisposte[idValutazione],tblRisposte[Valore],""),"")</f>
        <v/>
      </c>
      <c r="F27" t="s">
        <v>745</v>
      </c>
      <c r="H27" t="str" cm="1">
        <f t="array" ref="H27">_xlfn.LET(_xlpm.v,_xlfn.XLOOKUP(G27,tblValutazioni[TipoValutazione],tblValutazioni[MB],""),IF(_xlpm.v="","",_xlpm.v))</f>
        <v/>
      </c>
      <c r="I27" s="18">
        <f>IF(_xlfn.XLOOKUP($A27, tblRisposte[ItemKey],tblRisposte[Valore],"")="Molto bene","X",0)</f>
        <v>0</v>
      </c>
      <c r="J27" s="1">
        <f t="shared" si="1"/>
        <v>0</v>
      </c>
      <c r="K27" t="str" cm="1">
        <f t="array" ref="K27">_xlfn.LET(_xlpm.v,_xlfn.XLOOKUP(G27,tblValutazioni[TipoValutazione],tblValutazioni[BE],""),IF(_xlpm.v="","",_xlpm.v))</f>
        <v/>
      </c>
      <c r="L27" s="18">
        <f>IF(_xlfn.XLOOKUP($A27, tblRisposte[ItemKey], tblRisposte[Valore], "")="Bene","X",0)</f>
        <v>0</v>
      </c>
      <c r="M27" s="1">
        <f t="shared" si="2"/>
        <v>0</v>
      </c>
      <c r="N27" t="str" cm="1">
        <f t="array" ref="N27">_xlfn.LET(_xlpm.v,_xlfn.XLOOKUP(G27,tblValutazioni[TipoValutazione],tblValutazioni[SU],""),IF(_xlpm.v="","",_xlpm.v))</f>
        <v/>
      </c>
      <c r="O27" s="18">
        <f>IF(_xlfn.XLOOKUP($A27, tblRisposte[ItemKey], tblRisposte[Valore], "")="Soddisfacente","X",0)</f>
        <v>0</v>
      </c>
      <c r="P27" s="1">
        <f t="shared" si="3"/>
        <v>0</v>
      </c>
      <c r="Q27" t="str" cm="1">
        <f t="array" ref="Q27">_xlfn.LET(_xlpm.v,_xlfn.XLOOKUP(G27,tblValutazioni[TipoValutazione],tblValutazioni[IN],""),IF(_xlpm.v="","",_xlpm.v))</f>
        <v/>
      </c>
      <c r="R27" s="18">
        <f>IF(_xlfn.XLOOKUP($A27, tblRisposte[ItemKey], tblRisposte[Valore], "")="Insufficiente","X",0)</f>
        <v>0</v>
      </c>
      <c r="S27" s="1">
        <f t="shared" si="4"/>
        <v>0</v>
      </c>
      <c r="T27" t="str" cm="1">
        <f t="array" ref="T27">_xlfn.LET(_xlpm.v,_xlfn.XLOOKUP(G27,tblValutazioni[TipoValutazione],tblValutazioni[NE],""),IF(_xlpm.v="","",_xlpm.v))</f>
        <v/>
      </c>
      <c r="U27" s="18">
        <f>IF(_xlfn.XLOOKUP($A27, tblRisposte[ItemKey], tblRisposte[Valore], "")="Non eseguito","X",0)</f>
        <v>0</v>
      </c>
      <c r="V27" s="1">
        <f t="shared" si="5"/>
        <v>0</v>
      </c>
      <c r="W27">
        <f>COUNTIF(I27,"x")+COUNTIF(L27,"x")+COUNTIF(O27,"x")+COUNTIF(R27,"x")+COUNTIF(U27,"x")</f>
        <v>0</v>
      </c>
      <c r="X27" t="str">
        <f>IF(COUNTIF(I27:U27,"X")=1,"OK","errore")</f>
        <v>errore</v>
      </c>
      <c r="Y27" t="str">
        <f>IF(D27="SEP",IF(I27="x",H27,IF(L27="X",K27,IF(O27="x",N27,IF(R27="X",Q27,IF(U27="X",T27,""))))),"")</f>
        <v/>
      </c>
    </row>
    <row r="28" spans="1:25" ht="15" customHeight="1">
      <c r="A28" t="str">
        <f>IF(G28&lt;&gt;"",ScenaAttiva&amp;"_"&amp;AB$4&amp;TEXT(COUNTIF($G$3:G28,"&lt;&gt;"),"0000"),"")</f>
        <v/>
      </c>
      <c r="B28" t="str">
        <f>IF(A28&lt;&gt;"",SquadraAttiva,"")</f>
        <v/>
      </c>
      <c r="C28" t="str">
        <f t="shared" si="0"/>
        <v/>
      </c>
      <c r="D28" t="str">
        <f>IFERROR(_xlfn.XLOOKUP(C28,tblRisposte[idValutazione],tblRisposte[Valore],""),"")</f>
        <v/>
      </c>
      <c r="F28" t="s">
        <v>730</v>
      </c>
      <c r="H28" t="str" cm="1">
        <f t="array" ref="H28">_xlfn.LET(_xlpm.v,_xlfn.XLOOKUP(G28,tblValutazioni[TipoValutazione],tblValutazioni[MB],""),IF(_xlpm.v="","",_xlpm.v))</f>
        <v/>
      </c>
      <c r="I28" s="18">
        <f>IF(_xlfn.XLOOKUP($A28, tblRisposte[ItemKey],tblRisposte[Valore],"")="Molto bene","X",0)</f>
        <v>0</v>
      </c>
      <c r="J28" s="1">
        <f t="shared" si="1"/>
        <v>0</v>
      </c>
      <c r="K28" t="str" cm="1">
        <f t="array" ref="K28">_xlfn.LET(_xlpm.v,_xlfn.XLOOKUP(G28,tblValutazioni[TipoValutazione],tblValutazioni[BE],""),IF(_xlpm.v="","",_xlpm.v))</f>
        <v/>
      </c>
      <c r="L28" s="18">
        <f>IF(_xlfn.XLOOKUP($A28, tblRisposte[ItemKey], tblRisposte[Valore], "")="Bene","X",0)</f>
        <v>0</v>
      </c>
      <c r="M28" s="1">
        <f t="shared" si="2"/>
        <v>0</v>
      </c>
      <c r="N28" t="str" cm="1">
        <f t="array" ref="N28">_xlfn.LET(_xlpm.v,_xlfn.XLOOKUP(G28,tblValutazioni[TipoValutazione],tblValutazioni[SU],""),IF(_xlpm.v="","",_xlpm.v))</f>
        <v/>
      </c>
      <c r="O28" s="18">
        <f>IF(_xlfn.XLOOKUP($A28, tblRisposte[ItemKey], tblRisposte[Valore], "")="Soddisfacente","X",0)</f>
        <v>0</v>
      </c>
      <c r="P28" s="1">
        <f t="shared" si="3"/>
        <v>0</v>
      </c>
      <c r="Q28" t="str" cm="1">
        <f t="array" ref="Q28">_xlfn.LET(_xlpm.v,_xlfn.XLOOKUP(G28,tblValutazioni[TipoValutazione],tblValutazioni[IN],""),IF(_xlpm.v="","",_xlpm.v))</f>
        <v/>
      </c>
      <c r="R28" s="18">
        <f>IF(_xlfn.XLOOKUP($A28, tblRisposte[ItemKey], tblRisposte[Valore], "")="Insufficiente","X",0)</f>
        <v>0</v>
      </c>
      <c r="S28" s="1">
        <f t="shared" si="4"/>
        <v>0</v>
      </c>
      <c r="T28" t="str" cm="1">
        <f t="array" ref="T28">_xlfn.LET(_xlpm.v,_xlfn.XLOOKUP(G28,tblValutazioni[TipoValutazione],tblValutazioni[NE],""),IF(_xlpm.v="","",_xlpm.v))</f>
        <v/>
      </c>
      <c r="U28" s="18">
        <f>IF(_xlfn.XLOOKUP($A28, tblRisposte[ItemKey], tblRisposte[Valore], "")="Non eseguito","X",0)</f>
        <v>0</v>
      </c>
      <c r="V28" s="1">
        <f t="shared" si="5"/>
        <v>0</v>
      </c>
      <c r="W28">
        <f>COUNTIF(I28,"x")+COUNTIF(L28,"x")+COUNTIF(O28,"x")+COUNTIF(R28,"x")+COUNTIF(U28,"x")</f>
        <v>0</v>
      </c>
      <c r="X28" t="str">
        <f>IF(COUNTIF(I28:U28,"X")=1,"OK","errore")</f>
        <v>errore</v>
      </c>
      <c r="Y28" t="str">
        <f>IF(D28="SEP",IF(I28="x",H28,IF(L28="X",K28,IF(O28="x",N28,IF(R28="X",Q28,IF(U28="X",T28,""))))),"")</f>
        <v/>
      </c>
    </row>
    <row r="29" spans="1:25" ht="15" customHeight="1">
      <c r="A29" t="str">
        <f>IF(G29&lt;&gt;"",ScenaAttiva&amp;"_"&amp;AB$4&amp;TEXT(COUNTIF($G$3:G29,"&lt;&gt;"),"0000"),"")</f>
        <v/>
      </c>
      <c r="B29" t="str">
        <f>IF(A29&lt;&gt;"",SquadraAttiva,"")</f>
        <v/>
      </c>
      <c r="C29" t="str">
        <f t="shared" si="0"/>
        <v/>
      </c>
      <c r="D29" t="str">
        <f>IFERROR(_xlfn.XLOOKUP(C29,tblRisposte[idValutazione],tblRisposte[Valore],""),"")</f>
        <v/>
      </c>
      <c r="F29" t="s">
        <v>731</v>
      </c>
      <c r="H29" t="str" cm="1">
        <f t="array" ref="H29">_xlfn.LET(_xlpm.v,_xlfn.XLOOKUP(G29,tblValutazioni[TipoValutazione],tblValutazioni[MB],""),IF(_xlpm.v="","",_xlpm.v))</f>
        <v/>
      </c>
      <c r="I29" s="18">
        <f>IF(_xlfn.XLOOKUP($A29, tblRisposte[ItemKey],tblRisposte[Valore],"")="Molto bene","X",0)</f>
        <v>0</v>
      </c>
      <c r="J29" s="1">
        <f t="shared" si="1"/>
        <v>0</v>
      </c>
      <c r="K29" t="str" cm="1">
        <f t="array" ref="K29">_xlfn.LET(_xlpm.v,_xlfn.XLOOKUP(G29,tblValutazioni[TipoValutazione],tblValutazioni[BE],""),IF(_xlpm.v="","",_xlpm.v))</f>
        <v/>
      </c>
      <c r="L29" s="18">
        <f>IF(_xlfn.XLOOKUP($A29, tblRisposte[ItemKey], tblRisposte[Valore], "")="Bene","X",0)</f>
        <v>0</v>
      </c>
      <c r="M29" s="1">
        <f t="shared" si="2"/>
        <v>0</v>
      </c>
      <c r="N29" t="str" cm="1">
        <f t="array" ref="N29">_xlfn.LET(_xlpm.v,_xlfn.XLOOKUP(G29,tblValutazioni[TipoValutazione],tblValutazioni[SU],""),IF(_xlpm.v="","",_xlpm.v))</f>
        <v/>
      </c>
      <c r="O29" s="18">
        <f>IF(_xlfn.XLOOKUP($A29, tblRisposte[ItemKey], tblRisposte[Valore], "")="Soddisfacente","X",0)</f>
        <v>0</v>
      </c>
      <c r="P29" s="1">
        <f t="shared" si="3"/>
        <v>0</v>
      </c>
      <c r="Q29" t="str" cm="1">
        <f t="array" ref="Q29">_xlfn.LET(_xlpm.v,_xlfn.XLOOKUP(G29,tblValutazioni[TipoValutazione],tblValutazioni[IN],""),IF(_xlpm.v="","",_xlpm.v))</f>
        <v/>
      </c>
      <c r="R29" s="18">
        <f>IF(_xlfn.XLOOKUP($A29, tblRisposte[ItemKey], tblRisposte[Valore], "")="Insufficiente","X",0)</f>
        <v>0</v>
      </c>
      <c r="S29" s="1">
        <f t="shared" si="4"/>
        <v>0</v>
      </c>
      <c r="T29" t="str" cm="1">
        <f t="array" ref="T29">_xlfn.LET(_xlpm.v,_xlfn.XLOOKUP(G29,tblValutazioni[TipoValutazione],tblValutazioni[NE],""),IF(_xlpm.v="","",_xlpm.v))</f>
        <v/>
      </c>
      <c r="U29" s="18">
        <f>IF(_xlfn.XLOOKUP($A29, tblRisposte[ItemKey], tblRisposte[Valore], "")="Non eseguito","X",0)</f>
        <v>0</v>
      </c>
      <c r="V29" s="1">
        <f t="shared" si="5"/>
        <v>0</v>
      </c>
      <c r="W29">
        <f>COUNTIF(I29,"x")+COUNTIF(L29,"x")+COUNTIF(O29,"x")+COUNTIF(R29,"x")+COUNTIF(U29,"x")</f>
        <v>0</v>
      </c>
      <c r="X29" t="str">
        <f>IF(COUNTIF(I29:U29,"X")=1,"OK","errore")</f>
        <v>errore</v>
      </c>
      <c r="Y29" t="str">
        <f>IF(D29="SEP",IF(I29="x",H29,IF(L29="X",K29,IF(O29="x",N29,IF(R29="X",Q29,IF(U29="X",T29,""))))),"")</f>
        <v/>
      </c>
    </row>
    <row r="30" spans="1:25" ht="15" customHeight="1">
      <c r="A30" t="str">
        <f>IF(G30&lt;&gt;"",ScenaAttiva&amp;"_"&amp;AB$4&amp;TEXT(COUNTIF($G$3:G30,"&lt;&gt;"),"0000"),"")</f>
        <v/>
      </c>
      <c r="B30" t="str">
        <f>IF(A30&lt;&gt;"",SquadraAttiva,"")</f>
        <v/>
      </c>
      <c r="C30" t="str">
        <f t="shared" si="0"/>
        <v/>
      </c>
      <c r="D30" t="str">
        <f>IFERROR(_xlfn.XLOOKUP(C30,tblRisposte[idValutazione],tblRisposte[Valore],""),"")</f>
        <v/>
      </c>
      <c r="F30" t="s">
        <v>732</v>
      </c>
      <c r="H30" t="str" cm="1">
        <f t="array" ref="H30">_xlfn.LET(_xlpm.v,_xlfn.XLOOKUP(G30,tblValutazioni[TipoValutazione],tblValutazioni[MB],""),IF(_xlpm.v="","",_xlpm.v))</f>
        <v/>
      </c>
      <c r="I30" s="18">
        <f>IF(_xlfn.XLOOKUP($A30, tblRisposte[ItemKey],tblRisposte[Valore],"")="Molto bene","X",0)</f>
        <v>0</v>
      </c>
      <c r="J30" s="1">
        <f t="shared" si="1"/>
        <v>0</v>
      </c>
      <c r="K30" t="str" cm="1">
        <f t="array" ref="K30">_xlfn.LET(_xlpm.v,_xlfn.XLOOKUP(G30,tblValutazioni[TipoValutazione],tblValutazioni[BE],""),IF(_xlpm.v="","",_xlpm.v))</f>
        <v/>
      </c>
      <c r="L30" s="18">
        <f>IF(_xlfn.XLOOKUP($A30, tblRisposte[ItemKey], tblRisposte[Valore], "")="Bene","X",0)</f>
        <v>0</v>
      </c>
      <c r="M30" s="1">
        <f t="shared" si="2"/>
        <v>0</v>
      </c>
      <c r="N30" t="str" cm="1">
        <f t="array" ref="N30">_xlfn.LET(_xlpm.v,_xlfn.XLOOKUP(G30,tblValutazioni[TipoValutazione],tblValutazioni[SU],""),IF(_xlpm.v="","",_xlpm.v))</f>
        <v/>
      </c>
      <c r="O30" s="18">
        <f>IF(_xlfn.XLOOKUP($A30, tblRisposte[ItemKey], tblRisposte[Valore], "")="Soddisfacente","X",0)</f>
        <v>0</v>
      </c>
      <c r="P30" s="1">
        <f t="shared" si="3"/>
        <v>0</v>
      </c>
      <c r="Q30" t="str" cm="1">
        <f t="array" ref="Q30">_xlfn.LET(_xlpm.v,_xlfn.XLOOKUP(G30,tblValutazioni[TipoValutazione],tblValutazioni[IN],""),IF(_xlpm.v="","",_xlpm.v))</f>
        <v/>
      </c>
      <c r="R30" s="18">
        <f>IF(_xlfn.XLOOKUP($A30, tblRisposte[ItemKey], tblRisposte[Valore], "")="Insufficiente","X",0)</f>
        <v>0</v>
      </c>
      <c r="S30" s="1">
        <f t="shared" si="4"/>
        <v>0</v>
      </c>
      <c r="T30" t="str" cm="1">
        <f t="array" ref="T30">_xlfn.LET(_xlpm.v,_xlfn.XLOOKUP(G30,tblValutazioni[TipoValutazione],tblValutazioni[NE],""),IF(_xlpm.v="","",_xlpm.v))</f>
        <v/>
      </c>
      <c r="U30" s="18">
        <f>IF(_xlfn.XLOOKUP($A30, tblRisposte[ItemKey], tblRisposte[Valore], "")="Non eseguito","X",0)</f>
        <v>0</v>
      </c>
      <c r="V30" s="1">
        <f t="shared" si="5"/>
        <v>0</v>
      </c>
      <c r="W30">
        <f>COUNTIF(I30,"x")+COUNTIF(L30,"x")+COUNTIF(O30,"x")+COUNTIF(R30,"x")+COUNTIF(U30,"x")</f>
        <v>0</v>
      </c>
      <c r="X30" t="str">
        <f>IF(COUNTIF(I30:U30,"X")=1,"OK","errore")</f>
        <v>errore</v>
      </c>
      <c r="Y30" t="str">
        <f>IF(D30="SEP",IF(I30="x",H30,IF(L30="X",K30,IF(O30="x",N30,IF(R30="X",Q30,IF(U30="X",T30,""))))),"")</f>
        <v/>
      </c>
    </row>
    <row r="31" spans="1:25" ht="15" customHeight="1">
      <c r="A31" t="str">
        <f>IF(G31&lt;&gt;"",ScenaAttiva&amp;"_"&amp;AB$4&amp;TEXT(COUNTIF($G$3:G31,"&lt;&gt;"),"0000"),"")</f>
        <v/>
      </c>
      <c r="B31" t="str">
        <f>IF(A31&lt;&gt;"",SquadraAttiva,"")</f>
        <v/>
      </c>
      <c r="C31" t="str">
        <f t="shared" si="0"/>
        <v/>
      </c>
      <c r="D31" t="str">
        <f>IFERROR(_xlfn.XLOOKUP(C31,tblRisposte[idValutazione],tblRisposte[Valore],""),"")</f>
        <v/>
      </c>
      <c r="F31" t="s">
        <v>733</v>
      </c>
      <c r="H31" t="str" cm="1">
        <f t="array" ref="H31">_xlfn.LET(_xlpm.v,_xlfn.XLOOKUP(G31,tblValutazioni[TipoValutazione],tblValutazioni[MB],""),IF(_xlpm.v="","",_xlpm.v))</f>
        <v/>
      </c>
      <c r="I31" s="18">
        <f>IF(_xlfn.XLOOKUP($A31, tblRisposte[ItemKey],tblRisposte[Valore],"")="Molto bene","X",0)</f>
        <v>0</v>
      </c>
      <c r="J31" s="1">
        <f t="shared" si="1"/>
        <v>0</v>
      </c>
      <c r="K31" t="str" cm="1">
        <f t="array" ref="K31">_xlfn.LET(_xlpm.v,_xlfn.XLOOKUP(G31,tblValutazioni[TipoValutazione],tblValutazioni[BE],""),IF(_xlpm.v="","",_xlpm.v))</f>
        <v/>
      </c>
      <c r="L31" s="18">
        <f>IF(_xlfn.XLOOKUP($A31, tblRisposte[ItemKey], tblRisposte[Valore], "")="Bene","X",0)</f>
        <v>0</v>
      </c>
      <c r="M31" s="1">
        <f t="shared" si="2"/>
        <v>0</v>
      </c>
      <c r="N31" t="str" cm="1">
        <f t="array" ref="N31">_xlfn.LET(_xlpm.v,_xlfn.XLOOKUP(G31,tblValutazioni[TipoValutazione],tblValutazioni[SU],""),IF(_xlpm.v="","",_xlpm.v))</f>
        <v/>
      </c>
      <c r="O31" s="18">
        <f>IF(_xlfn.XLOOKUP($A31, tblRisposte[ItemKey], tblRisposte[Valore], "")="Soddisfacente","X",0)</f>
        <v>0</v>
      </c>
      <c r="P31" s="1">
        <f t="shared" si="3"/>
        <v>0</v>
      </c>
      <c r="Q31" t="str" cm="1">
        <f t="array" ref="Q31">_xlfn.LET(_xlpm.v,_xlfn.XLOOKUP(G31,tblValutazioni[TipoValutazione],tblValutazioni[IN],""),IF(_xlpm.v="","",_xlpm.v))</f>
        <v/>
      </c>
      <c r="R31" s="18">
        <f>IF(_xlfn.XLOOKUP($A31, tblRisposte[ItemKey], tblRisposte[Valore], "")="Insufficiente","X",0)</f>
        <v>0</v>
      </c>
      <c r="S31" s="1">
        <f t="shared" si="4"/>
        <v>0</v>
      </c>
      <c r="T31" t="str" cm="1">
        <f t="array" ref="T31">_xlfn.LET(_xlpm.v,_xlfn.XLOOKUP(G31,tblValutazioni[TipoValutazione],tblValutazioni[NE],""),IF(_xlpm.v="","",_xlpm.v))</f>
        <v/>
      </c>
      <c r="U31" s="18">
        <f>IF(_xlfn.XLOOKUP($A31, tblRisposte[ItemKey], tblRisposte[Valore], "")="Non eseguito","X",0)</f>
        <v>0</v>
      </c>
      <c r="V31" s="1">
        <f t="shared" si="5"/>
        <v>0</v>
      </c>
      <c r="W31">
        <f>COUNTIF(I31,"x")+COUNTIF(L31,"x")+COUNTIF(O31,"x")+COUNTIF(R31,"x")+COUNTIF(U31,"x")</f>
        <v>0</v>
      </c>
      <c r="X31" t="str">
        <f>IF(COUNTIF(I31:U31,"X")=1,"OK","errore")</f>
        <v>errore</v>
      </c>
      <c r="Y31" t="str">
        <f>IF(D31="SEP",IF(I31="x",H31,IF(L31="X",K31,IF(O31="x",N31,IF(R31="X",Q31,IF(U31="X",T31,""))))),"")</f>
        <v/>
      </c>
    </row>
    <row r="32" spans="1:25" ht="15" customHeight="1">
      <c r="A32" t="str">
        <f>IF(G32&lt;&gt;"",ScenaAttiva&amp;"_"&amp;AB$4&amp;TEXT(COUNTIF($G$3:G32,"&lt;&gt;"),"0000"),"")</f>
        <v/>
      </c>
      <c r="B32" t="str">
        <f>IF(A32&lt;&gt;"",SquadraAttiva,"")</f>
        <v/>
      </c>
      <c r="C32" t="str">
        <f t="shared" si="0"/>
        <v/>
      </c>
      <c r="D32" t="str">
        <f>IFERROR(_xlfn.XLOOKUP(C32,tblRisposte[idValutazione],tblRisposte[Valore],""),"")</f>
        <v/>
      </c>
      <c r="F32" t="s">
        <v>734</v>
      </c>
      <c r="H32" t="str" cm="1">
        <f t="array" ref="H32">_xlfn.LET(_xlpm.v,_xlfn.XLOOKUP(G32,tblValutazioni[TipoValutazione],tblValutazioni[MB],""),IF(_xlpm.v="","",_xlpm.v))</f>
        <v/>
      </c>
      <c r="I32" s="18">
        <f>IF(_xlfn.XLOOKUP($A32, tblRisposte[ItemKey],tblRisposte[Valore],"")="Molto bene","X",0)</f>
        <v>0</v>
      </c>
      <c r="J32" s="1">
        <f t="shared" si="1"/>
        <v>0</v>
      </c>
      <c r="K32" t="str" cm="1">
        <f t="array" ref="K32">_xlfn.LET(_xlpm.v,_xlfn.XLOOKUP(G32,tblValutazioni[TipoValutazione],tblValutazioni[BE],""),IF(_xlpm.v="","",_xlpm.v))</f>
        <v/>
      </c>
      <c r="L32" s="18">
        <f>IF(_xlfn.XLOOKUP($A32, tblRisposte[ItemKey], tblRisposte[Valore], "")="Bene","X",0)</f>
        <v>0</v>
      </c>
      <c r="M32" s="1">
        <f t="shared" si="2"/>
        <v>0</v>
      </c>
      <c r="N32" t="str" cm="1">
        <f t="array" ref="N32">_xlfn.LET(_xlpm.v,_xlfn.XLOOKUP(G32,tblValutazioni[TipoValutazione],tblValutazioni[SU],""),IF(_xlpm.v="","",_xlpm.v))</f>
        <v/>
      </c>
      <c r="O32" s="18">
        <f>IF(_xlfn.XLOOKUP($A32, tblRisposte[ItemKey], tblRisposte[Valore], "")="Soddisfacente","X",0)</f>
        <v>0</v>
      </c>
      <c r="P32" s="1">
        <f t="shared" si="3"/>
        <v>0</v>
      </c>
      <c r="Q32" t="str" cm="1">
        <f t="array" ref="Q32">_xlfn.LET(_xlpm.v,_xlfn.XLOOKUP(G32,tblValutazioni[TipoValutazione],tblValutazioni[IN],""),IF(_xlpm.v="","",_xlpm.v))</f>
        <v/>
      </c>
      <c r="R32" s="18">
        <f>IF(_xlfn.XLOOKUP($A32, tblRisposte[ItemKey], tblRisposte[Valore], "")="Insufficiente","X",0)</f>
        <v>0</v>
      </c>
      <c r="S32" s="1">
        <f t="shared" si="4"/>
        <v>0</v>
      </c>
      <c r="T32" t="str" cm="1">
        <f t="array" ref="T32">_xlfn.LET(_xlpm.v,_xlfn.XLOOKUP(G32,tblValutazioni[TipoValutazione],tblValutazioni[NE],""),IF(_xlpm.v="","",_xlpm.v))</f>
        <v/>
      </c>
      <c r="U32" s="18">
        <f>IF(_xlfn.XLOOKUP($A32, tblRisposte[ItemKey], tblRisposte[Valore], "")="Non eseguito","X",0)</f>
        <v>0</v>
      </c>
      <c r="V32" s="1">
        <f t="shared" si="5"/>
        <v>0</v>
      </c>
      <c r="W32">
        <f>COUNTIF(I32,"x")+COUNTIF(L32,"x")+COUNTIF(O32,"x")+COUNTIF(R32,"x")+COUNTIF(U32,"x")</f>
        <v>0</v>
      </c>
      <c r="X32" t="str">
        <f>IF(COUNTIF(I32:U32,"X")=1,"OK","errore")</f>
        <v>errore</v>
      </c>
      <c r="Y32" t="str">
        <f>IF(D32="SEP",IF(I32="x",H32,IF(L32="X",K32,IF(O32="x",N32,IF(R32="X",Q32,IF(U32="X",T32,""))))),"")</f>
        <v/>
      </c>
    </row>
    <row r="33" spans="1:25" ht="15" customHeight="1">
      <c r="A33" t="str">
        <f>IF(G33&lt;&gt;"",ScenaAttiva&amp;"_"&amp;AB$4&amp;TEXT(COUNTIF($G$3:G33,"&lt;&gt;"),"0000"),"")</f>
        <v/>
      </c>
      <c r="B33" t="str">
        <f>IF(A33&lt;&gt;"",SquadraAttiva,"")</f>
        <v/>
      </c>
      <c r="C33" t="str">
        <f t="shared" ref="C33:C41" si="6">IF(A33&lt;&gt;"",TEXT(B33,"0")&amp;"-"&amp;TRIM(A33),"")</f>
        <v/>
      </c>
      <c r="D33" t="str">
        <f>IFERROR(_xlfn.XLOOKUP(C33,tblRisposte[idValutazione],tblRisposte[Valore],""),"")</f>
        <v/>
      </c>
      <c r="F33" t="s">
        <v>735</v>
      </c>
      <c r="G33" s="26"/>
      <c r="H33" t="str" cm="1">
        <f t="array" ref="H33">_xlfn.LET(_xlpm.v,_xlfn.XLOOKUP(G33,tblValutazioni[TipoValutazione],tblValutazioni[MB],""),IF(_xlpm.v="","",_xlpm.v))</f>
        <v/>
      </c>
      <c r="I33" s="18">
        <f>IF(_xlfn.XLOOKUP($A33, tblRisposte[ItemKey],tblRisposte[Valore],"")="Molto bene","X",0)</f>
        <v>0</v>
      </c>
      <c r="J33" s="1">
        <f t="shared" si="1"/>
        <v>0</v>
      </c>
      <c r="K33" t="str" cm="1">
        <f t="array" ref="K33">_xlfn.LET(_xlpm.v,_xlfn.XLOOKUP(G33,tblValutazioni[TipoValutazione],tblValutazioni[BE],""),IF(_xlpm.v="","",_xlpm.v))</f>
        <v/>
      </c>
      <c r="L33" s="18">
        <f>IF(_xlfn.XLOOKUP($A33, tblRisposte[ItemKey], tblRisposte[Valore], "")="Bene","X",0)</f>
        <v>0</v>
      </c>
      <c r="M33" s="1">
        <f t="shared" si="2"/>
        <v>0</v>
      </c>
      <c r="N33" t="str" cm="1">
        <f t="array" ref="N33">_xlfn.LET(_xlpm.v,_xlfn.XLOOKUP(G33,tblValutazioni[TipoValutazione],tblValutazioni[SU],""),IF(_xlpm.v="","",_xlpm.v))</f>
        <v/>
      </c>
      <c r="O33" s="18">
        <f>IF(_xlfn.XLOOKUP($A33, tblRisposte[ItemKey], tblRisposte[Valore], "")="Soddisfacente","X",0)</f>
        <v>0</v>
      </c>
      <c r="P33" s="1">
        <f t="shared" si="3"/>
        <v>0</v>
      </c>
      <c r="Q33" t="str" cm="1">
        <f t="array" ref="Q33">_xlfn.LET(_xlpm.v,_xlfn.XLOOKUP(G33,tblValutazioni[TipoValutazione],tblValutazioni[IN],""),IF(_xlpm.v="","",_xlpm.v))</f>
        <v/>
      </c>
      <c r="R33" s="18">
        <f>IF(_xlfn.XLOOKUP($A33, tblRisposte[ItemKey], tblRisposte[Valore], "")="Insufficiente","X",0)</f>
        <v>0</v>
      </c>
      <c r="S33" s="1">
        <f t="shared" si="4"/>
        <v>0</v>
      </c>
      <c r="T33" t="str" cm="1">
        <f t="array" ref="T33">_xlfn.LET(_xlpm.v,_xlfn.XLOOKUP(G33,tblValutazioni[TipoValutazione],tblValutazioni[NE],""),IF(_xlpm.v="","",_xlpm.v))</f>
        <v/>
      </c>
      <c r="U33" s="18">
        <f>IF(_xlfn.XLOOKUP($A33, tblRisposte[ItemKey], tblRisposte[Valore], "")="Non eseguito","X",0)</f>
        <v>0</v>
      </c>
      <c r="V33" s="1">
        <f t="shared" si="5"/>
        <v>0</v>
      </c>
      <c r="W33" s="17"/>
      <c r="X33" t="str">
        <f>IF(COUNTIF(I33:U33,"X")=1,"OK","errore")</f>
        <v>errore</v>
      </c>
      <c r="Y33" t="str">
        <f>IF(D33="SEP",IF(I33="x",H33,IF(L33="X",K33,IF(O33="x",N33,IF(R33="X",Q33,IF(U33="X",T33,""))))),"")</f>
        <v/>
      </c>
    </row>
    <row r="34" spans="1:25" ht="15" customHeight="1">
      <c r="A34" t="str">
        <f>IF(G34&lt;&gt;"",ScenaAttiva&amp;"_"&amp;AB$4&amp;TEXT(COUNTIF($G$3:G34,"&lt;&gt;"),"0000"),"")</f>
        <v/>
      </c>
      <c r="B34" t="str">
        <f>IF(A34&lt;&gt;"",SquadraAttiva,"")</f>
        <v/>
      </c>
      <c r="C34" t="str">
        <f t="shared" si="6"/>
        <v/>
      </c>
      <c r="D34" t="str">
        <f>IFERROR(_xlfn.XLOOKUP(C34,tblRisposte[idValutazione],tblRisposte[Valore],""),"")</f>
        <v/>
      </c>
      <c r="F34" t="s">
        <v>736</v>
      </c>
      <c r="H34" t="str" cm="1">
        <f t="array" ref="H34">_xlfn.LET(_xlpm.v,_xlfn.XLOOKUP(G34,tblValutazioni[TipoValutazione],tblValutazioni[MB],""),IF(_xlpm.v="","",_xlpm.v))</f>
        <v/>
      </c>
      <c r="I34" s="18">
        <f>IF(_xlfn.XLOOKUP($A34, tblRisposte[ItemKey],tblRisposte[Valore],"")="Molto bene","X",0)</f>
        <v>0</v>
      </c>
      <c r="J34" s="1">
        <f t="shared" si="1"/>
        <v>0</v>
      </c>
      <c r="K34" t="str" cm="1">
        <f t="array" ref="K34">_xlfn.LET(_xlpm.v,_xlfn.XLOOKUP(G34,tblValutazioni[TipoValutazione],tblValutazioni[BE],""),IF(_xlpm.v="","",_xlpm.v))</f>
        <v/>
      </c>
      <c r="L34" s="18">
        <f>IF(_xlfn.XLOOKUP($A34, tblRisposte[ItemKey], tblRisposte[Valore], "")="Bene","X",0)</f>
        <v>0</v>
      </c>
      <c r="M34" s="1">
        <f t="shared" si="2"/>
        <v>0</v>
      </c>
      <c r="N34" t="str" cm="1">
        <f t="array" ref="N34">_xlfn.LET(_xlpm.v,_xlfn.XLOOKUP(G34,tblValutazioni[TipoValutazione],tblValutazioni[SU],""),IF(_xlpm.v="","",_xlpm.v))</f>
        <v/>
      </c>
      <c r="O34" s="18">
        <f>IF(_xlfn.XLOOKUP($A34, tblRisposte[ItemKey], tblRisposte[Valore], "")="Soddisfacente","X",0)</f>
        <v>0</v>
      </c>
      <c r="P34" s="1">
        <f t="shared" si="3"/>
        <v>0</v>
      </c>
      <c r="Q34" t="str" cm="1">
        <f t="array" ref="Q34">_xlfn.LET(_xlpm.v,_xlfn.XLOOKUP(G34,tblValutazioni[TipoValutazione],tblValutazioni[IN],""),IF(_xlpm.v="","",_xlpm.v))</f>
        <v/>
      </c>
      <c r="R34" s="18">
        <f>IF(_xlfn.XLOOKUP($A34, tblRisposte[ItemKey], tblRisposte[Valore], "")="Insufficiente","X",0)</f>
        <v>0</v>
      </c>
      <c r="S34" s="1">
        <f t="shared" si="4"/>
        <v>0</v>
      </c>
      <c r="T34" t="str" cm="1">
        <f t="array" ref="T34">_xlfn.LET(_xlpm.v,_xlfn.XLOOKUP(G34,tblValutazioni[TipoValutazione],tblValutazioni[NE],""),IF(_xlpm.v="","",_xlpm.v))</f>
        <v/>
      </c>
      <c r="U34" s="18">
        <f>IF(_xlfn.XLOOKUP($A34, tblRisposte[ItemKey], tblRisposte[Valore], "")="Non eseguito","X",0)</f>
        <v>0</v>
      </c>
      <c r="V34" s="1">
        <f t="shared" si="5"/>
        <v>0</v>
      </c>
      <c r="W34">
        <f>COUNTIF(I34,"x")+COUNTIF(L34,"x")+COUNTIF(O34,"x")+COUNTIF(R34,"x")+COUNTIF(U34,"x")</f>
        <v>0</v>
      </c>
      <c r="X34" t="str">
        <f>IF(COUNTIF(I34:U34,"X")=1,"OK","errore")</f>
        <v>errore</v>
      </c>
      <c r="Y34" t="str">
        <f>IF(D34="SEP",IF(I34="x",H34,IF(L34="X",K34,IF(O34="x",N34,IF(R34="X",Q34,IF(U34="X",T34,""))))),"")</f>
        <v/>
      </c>
    </row>
    <row r="35" spans="1:25" ht="15" customHeight="1">
      <c r="A35" t="str">
        <f>IF(G35&lt;&gt;"",ScenaAttiva&amp;"_"&amp;AB$4&amp;TEXT(COUNTIF($G$3:G35,"&lt;&gt;"),"0000"),"")</f>
        <v/>
      </c>
      <c r="B35" t="str">
        <f>IF(A35&lt;&gt;"",SquadraAttiva,"")</f>
        <v/>
      </c>
      <c r="C35" t="str">
        <f t="shared" si="6"/>
        <v/>
      </c>
      <c r="D35" t="str">
        <f>IFERROR(_xlfn.XLOOKUP(C35,tblRisposte[idValutazione],tblRisposte[Valore],""),"")</f>
        <v/>
      </c>
      <c r="F35" t="s">
        <v>737</v>
      </c>
      <c r="H35" t="str" cm="1">
        <f t="array" ref="H35">_xlfn.LET(_xlpm.v,_xlfn.XLOOKUP(G35,tblValutazioni[TipoValutazione],tblValutazioni[MB],""),IF(_xlpm.v="","",_xlpm.v))</f>
        <v/>
      </c>
      <c r="I35" s="18">
        <f>IF(_xlfn.XLOOKUP($A35, tblRisposte[ItemKey],tblRisposte[Valore],"")="Molto bene","X",0)</f>
        <v>0</v>
      </c>
      <c r="J35" s="1">
        <f t="shared" si="1"/>
        <v>0</v>
      </c>
      <c r="K35" t="str" cm="1">
        <f t="array" ref="K35">_xlfn.LET(_xlpm.v,_xlfn.XLOOKUP(G35,tblValutazioni[TipoValutazione],tblValutazioni[BE],""),IF(_xlpm.v="","",_xlpm.v))</f>
        <v/>
      </c>
      <c r="L35" s="18">
        <f>IF(_xlfn.XLOOKUP($A35, tblRisposte[ItemKey], tblRisposte[Valore], "")="Bene","X",0)</f>
        <v>0</v>
      </c>
      <c r="M35" s="1">
        <f t="shared" si="2"/>
        <v>0</v>
      </c>
      <c r="N35" t="str" cm="1">
        <f t="array" ref="N35">_xlfn.LET(_xlpm.v,_xlfn.XLOOKUP(G35,tblValutazioni[TipoValutazione],tblValutazioni[SU],""),IF(_xlpm.v="","",_xlpm.v))</f>
        <v/>
      </c>
      <c r="O35" s="18">
        <f>IF(_xlfn.XLOOKUP($A35, tblRisposte[ItemKey], tblRisposte[Valore], "")="Soddisfacente","X",0)</f>
        <v>0</v>
      </c>
      <c r="P35" s="1">
        <f t="shared" si="3"/>
        <v>0</v>
      </c>
      <c r="Q35" t="str" cm="1">
        <f t="array" ref="Q35">_xlfn.LET(_xlpm.v,_xlfn.XLOOKUP(G35,tblValutazioni[TipoValutazione],tblValutazioni[IN],""),IF(_xlpm.v="","",_xlpm.v))</f>
        <v/>
      </c>
      <c r="R35" s="18">
        <f>IF(_xlfn.XLOOKUP($A35, tblRisposte[ItemKey], tblRisposte[Valore], "")="Insufficiente","X",0)</f>
        <v>0</v>
      </c>
      <c r="S35" s="1">
        <f t="shared" si="4"/>
        <v>0</v>
      </c>
      <c r="T35" t="str" cm="1">
        <f t="array" ref="T35">_xlfn.LET(_xlpm.v,_xlfn.XLOOKUP(G35,tblValutazioni[TipoValutazione],tblValutazioni[NE],""),IF(_xlpm.v="","",_xlpm.v))</f>
        <v/>
      </c>
      <c r="U35" s="18">
        <f>IF(_xlfn.XLOOKUP($A35, tblRisposte[ItemKey], tblRisposte[Valore], "")="Non eseguito","X",0)</f>
        <v>0</v>
      </c>
      <c r="V35" s="1">
        <f t="shared" si="5"/>
        <v>0</v>
      </c>
      <c r="W35">
        <f>COUNTIF(I35,"x")+COUNTIF(L35,"x")+COUNTIF(O35,"x")+COUNTIF(R35,"x")+COUNTIF(U35,"x")</f>
        <v>0</v>
      </c>
      <c r="X35" t="str">
        <f>IF(COUNTIF(I35:U35,"X")=1,"OK","errore")</f>
        <v>errore</v>
      </c>
      <c r="Y35" t="str">
        <f>IF(D35="SEP",IF(I35="x",H35,IF(L35="X",K35,IF(O35="x",N35,IF(R35="X",Q35,IF(U35="X",T35,""))))),"")</f>
        <v/>
      </c>
    </row>
    <row r="36" spans="1:25" ht="15" customHeight="1">
      <c r="A36" t="str">
        <f>IF(G36&lt;&gt;"",ScenaAttiva&amp;"_"&amp;AB$4&amp;TEXT(COUNTIF($G$3:G36,"&lt;&gt;"),"0000"),"")</f>
        <v/>
      </c>
      <c r="B36" t="str">
        <f>IF(A36&lt;&gt;"",SquadraAttiva,"")</f>
        <v/>
      </c>
      <c r="C36" t="str">
        <f t="shared" si="6"/>
        <v/>
      </c>
      <c r="D36" t="str">
        <f>IFERROR(_xlfn.XLOOKUP(C36,tblRisposte[idValutazione],tblRisposte[Valore],""),"")</f>
        <v/>
      </c>
      <c r="F36" t="s">
        <v>738</v>
      </c>
      <c r="H36" t="str" cm="1">
        <f t="array" ref="H36">_xlfn.LET(_xlpm.v,_xlfn.XLOOKUP(G36,tblValutazioni[TipoValutazione],tblValutazioni[MB],""),IF(_xlpm.v="","",_xlpm.v))</f>
        <v/>
      </c>
      <c r="I36" s="18">
        <f>IF(_xlfn.XLOOKUP($A36, tblRisposte[ItemKey],tblRisposte[Valore],"")="Molto bene","X",0)</f>
        <v>0</v>
      </c>
      <c r="J36" s="1">
        <f t="shared" si="1"/>
        <v>0</v>
      </c>
      <c r="K36" t="str" cm="1">
        <f t="array" ref="K36">_xlfn.LET(_xlpm.v,_xlfn.XLOOKUP(G36,tblValutazioni[TipoValutazione],tblValutazioni[BE],""),IF(_xlpm.v="","",_xlpm.v))</f>
        <v/>
      </c>
      <c r="L36" s="18">
        <f>IF(_xlfn.XLOOKUP($A36, tblRisposte[ItemKey], tblRisposte[Valore], "")="Bene","X",0)</f>
        <v>0</v>
      </c>
      <c r="M36" s="1">
        <f t="shared" si="2"/>
        <v>0</v>
      </c>
      <c r="N36" t="str" cm="1">
        <f t="array" ref="N36">_xlfn.LET(_xlpm.v,_xlfn.XLOOKUP(G36,tblValutazioni[TipoValutazione],tblValutazioni[SU],""),IF(_xlpm.v="","",_xlpm.v))</f>
        <v/>
      </c>
      <c r="O36" s="18">
        <f>IF(_xlfn.XLOOKUP($A36, tblRisposte[ItemKey], tblRisposte[Valore], "")="Soddisfacente","X",0)</f>
        <v>0</v>
      </c>
      <c r="P36" s="1">
        <f t="shared" si="3"/>
        <v>0</v>
      </c>
      <c r="Q36" t="str" cm="1">
        <f t="array" ref="Q36">_xlfn.LET(_xlpm.v,_xlfn.XLOOKUP(G36,tblValutazioni[TipoValutazione],tblValutazioni[IN],""),IF(_xlpm.v="","",_xlpm.v))</f>
        <v/>
      </c>
      <c r="R36" s="18">
        <f>IF(_xlfn.XLOOKUP($A36, tblRisposte[ItemKey], tblRisposte[Valore], "")="Insufficiente","X",0)</f>
        <v>0</v>
      </c>
      <c r="S36" s="1">
        <f t="shared" si="4"/>
        <v>0</v>
      </c>
      <c r="T36" t="str" cm="1">
        <f t="array" ref="T36">_xlfn.LET(_xlpm.v,_xlfn.XLOOKUP(G36,tblValutazioni[TipoValutazione],tblValutazioni[NE],""),IF(_xlpm.v="","",_xlpm.v))</f>
        <v/>
      </c>
      <c r="U36" s="18">
        <f>IF(_xlfn.XLOOKUP($A36, tblRisposte[ItemKey], tblRisposte[Valore], "")="Non eseguito","X",0)</f>
        <v>0</v>
      </c>
      <c r="V36" s="1">
        <f t="shared" si="5"/>
        <v>0</v>
      </c>
      <c r="W36">
        <f>COUNTIF(I36,"x")+COUNTIF(L36,"x")+COUNTIF(O36,"x")+COUNTIF(R36,"x")+COUNTIF(U36,"x")</f>
        <v>0</v>
      </c>
      <c r="X36" t="str">
        <f>IF(COUNTIF(I36:U36,"X")=1,"OK","errore")</f>
        <v>errore</v>
      </c>
    </row>
    <row r="37" spans="1:25" ht="15" customHeight="1">
      <c r="A37" t="str">
        <f>IF(G37&lt;&gt;"",ScenaAttiva&amp;"_"&amp;AB$4&amp;TEXT(COUNTIF($G$3:G37,"&lt;&gt;"),"0000"),"")</f>
        <v/>
      </c>
      <c r="B37" t="str">
        <f>IF(A37&lt;&gt;"",SquadraAttiva,"")</f>
        <v/>
      </c>
      <c r="C37" t="str">
        <f t="shared" si="6"/>
        <v/>
      </c>
      <c r="D37" t="str">
        <f>IFERROR(_xlfn.XLOOKUP(C37,tblRisposte[idValutazione],tblRisposte[Valore],""),"")</f>
        <v/>
      </c>
      <c r="F37" t="s">
        <v>739</v>
      </c>
      <c r="H37" t="str" cm="1">
        <f t="array" ref="H37">_xlfn.LET(_xlpm.v,_xlfn.XLOOKUP(G37,tblValutazioni[TipoValutazione],tblValutazioni[MB],""),IF(_xlpm.v="","",_xlpm.v))</f>
        <v/>
      </c>
      <c r="I37" s="18">
        <f>IF(_xlfn.XLOOKUP($A37, tblRisposte[ItemKey],tblRisposte[Valore],"")="Molto bene","X",0)</f>
        <v>0</v>
      </c>
      <c r="J37" s="1">
        <f t="shared" si="1"/>
        <v>0</v>
      </c>
      <c r="K37" t="str" cm="1">
        <f t="array" ref="K37">_xlfn.LET(_xlpm.v,_xlfn.XLOOKUP(G37,tblValutazioni[TipoValutazione],tblValutazioni[BE],""),IF(_xlpm.v="","",_xlpm.v))</f>
        <v/>
      </c>
      <c r="L37" s="18">
        <f>IF(_xlfn.XLOOKUP($A37, tblRisposte[ItemKey], tblRisposte[Valore], "")="Bene","X",0)</f>
        <v>0</v>
      </c>
      <c r="M37" s="1">
        <f t="shared" si="2"/>
        <v>0</v>
      </c>
      <c r="N37" t="str" cm="1">
        <f t="array" ref="N37">_xlfn.LET(_xlpm.v,_xlfn.XLOOKUP(G37,tblValutazioni[TipoValutazione],tblValutazioni[SU],""),IF(_xlpm.v="","",_xlpm.v))</f>
        <v/>
      </c>
      <c r="O37" s="18">
        <f>IF(_xlfn.XLOOKUP($A37, tblRisposte[ItemKey], tblRisposte[Valore], "")="Soddisfacente","X",0)</f>
        <v>0</v>
      </c>
      <c r="P37" s="1">
        <f t="shared" si="3"/>
        <v>0</v>
      </c>
      <c r="Q37" t="str" cm="1">
        <f t="array" ref="Q37">_xlfn.LET(_xlpm.v,_xlfn.XLOOKUP(G37,tblValutazioni[TipoValutazione],tblValutazioni[IN],""),IF(_xlpm.v="","",_xlpm.v))</f>
        <v/>
      </c>
      <c r="R37" s="18">
        <f>IF(_xlfn.XLOOKUP($A37, tblRisposte[ItemKey], tblRisposte[Valore], "")="Insufficiente","X",0)</f>
        <v>0</v>
      </c>
      <c r="S37" s="1">
        <f t="shared" si="4"/>
        <v>0</v>
      </c>
      <c r="T37" t="str" cm="1">
        <f t="array" ref="T37">_xlfn.LET(_xlpm.v,_xlfn.XLOOKUP(G37,tblValutazioni[TipoValutazione],tblValutazioni[NE],""),IF(_xlpm.v="","",_xlpm.v))</f>
        <v/>
      </c>
      <c r="U37" s="18">
        <f>IF(_xlfn.XLOOKUP($A37, tblRisposte[ItemKey], tblRisposte[Valore], "")="Non eseguito","X",0)</f>
        <v>0</v>
      </c>
      <c r="V37" s="1">
        <f t="shared" si="5"/>
        <v>0</v>
      </c>
      <c r="W37">
        <f>COUNTIF(I37,"x")+COUNTIF(L37,"x")+COUNTIF(O37,"x")+COUNTIF(R37,"x")+COUNTIF(U37,"x")</f>
        <v>0</v>
      </c>
      <c r="X37" t="str">
        <f>IF(COUNTIF(I37:U37,"X")=1,"OK","errore")</f>
        <v>errore</v>
      </c>
    </row>
    <row r="38" spans="1:25" ht="15" customHeight="1">
      <c r="A38" t="str">
        <f>IF(G38&lt;&gt;"",ScenaAttiva&amp;"_"&amp;AB$4&amp;TEXT(COUNTIF($G$3:G38,"&lt;&gt;"),"0000"),"")</f>
        <v/>
      </c>
      <c r="B38" t="str">
        <f>IF(A38&lt;&gt;"",SquadraAttiva,"")</f>
        <v/>
      </c>
      <c r="C38" t="str">
        <f t="shared" si="6"/>
        <v/>
      </c>
      <c r="D38" t="str">
        <f>IFERROR(_xlfn.XLOOKUP(C38,tblRisposte[idValutazione],tblRisposte[Valore],""),"")</f>
        <v/>
      </c>
      <c r="F38" t="s">
        <v>740</v>
      </c>
      <c r="H38" t="str" cm="1">
        <f t="array" ref="H38">_xlfn.LET(_xlpm.v,_xlfn.XLOOKUP(G38,tblValutazioni[TipoValutazione],tblValutazioni[MB],""),IF(_xlpm.v="","",_xlpm.v))</f>
        <v/>
      </c>
      <c r="I38" s="18">
        <f>IF(_xlfn.XLOOKUP($A38, tblRisposte[ItemKey],tblRisposte[Valore],"")="Molto bene","X",0)</f>
        <v>0</v>
      </c>
      <c r="J38" s="1">
        <f t="shared" si="1"/>
        <v>0</v>
      </c>
      <c r="K38" t="str" cm="1">
        <f t="array" ref="K38">_xlfn.LET(_xlpm.v,_xlfn.XLOOKUP(G38,tblValutazioni[TipoValutazione],tblValutazioni[BE],""),IF(_xlpm.v="","",_xlpm.v))</f>
        <v/>
      </c>
      <c r="L38" s="18">
        <f>IF(_xlfn.XLOOKUP($A38, tblRisposte[ItemKey], tblRisposte[Valore], "")="Bene","X",0)</f>
        <v>0</v>
      </c>
      <c r="M38" s="1">
        <f t="shared" si="2"/>
        <v>0</v>
      </c>
      <c r="N38" t="str" cm="1">
        <f t="array" ref="N38">_xlfn.LET(_xlpm.v,_xlfn.XLOOKUP(G38,tblValutazioni[TipoValutazione],tblValutazioni[SU],""),IF(_xlpm.v="","",_xlpm.v))</f>
        <v/>
      </c>
      <c r="O38" s="18">
        <f>IF(_xlfn.XLOOKUP($A38, tblRisposte[ItemKey], tblRisposte[Valore], "")="Soddisfacente","X",0)</f>
        <v>0</v>
      </c>
      <c r="P38" s="1">
        <f t="shared" si="3"/>
        <v>0</v>
      </c>
      <c r="Q38" t="str" cm="1">
        <f t="array" ref="Q38">_xlfn.LET(_xlpm.v,_xlfn.XLOOKUP(G38,tblValutazioni[TipoValutazione],tblValutazioni[IN],""),IF(_xlpm.v="","",_xlpm.v))</f>
        <v/>
      </c>
      <c r="R38" s="18">
        <f>IF(_xlfn.XLOOKUP($A38, tblRisposte[ItemKey], tblRisposte[Valore], "")="Insufficiente","X",0)</f>
        <v>0</v>
      </c>
      <c r="S38" s="1">
        <f t="shared" si="4"/>
        <v>0</v>
      </c>
      <c r="T38" t="str" cm="1">
        <f t="array" ref="T38">_xlfn.LET(_xlpm.v,_xlfn.XLOOKUP(G38,tblValutazioni[TipoValutazione],tblValutazioni[NE],""),IF(_xlpm.v="","",_xlpm.v))</f>
        <v/>
      </c>
      <c r="U38" s="18">
        <f>IF(_xlfn.XLOOKUP($A38, tblRisposte[ItemKey], tblRisposte[Valore], "")="Non eseguito","X",0)</f>
        <v>0</v>
      </c>
      <c r="V38" s="1">
        <f t="shared" si="5"/>
        <v>0</v>
      </c>
      <c r="W38">
        <f>COUNTIF(I38,"x")+COUNTIF(L38,"x")+COUNTIF(O38,"x")+COUNTIF(R38,"x")+COUNTIF(U38,"x")</f>
        <v>0</v>
      </c>
      <c r="X38" t="str">
        <f>IF(COUNTIF(I38:U38,"X")=1,"OK","errore")</f>
        <v>errore</v>
      </c>
    </row>
    <row r="39" spans="1:25" ht="15" customHeight="1">
      <c r="A39" t="str">
        <f>IF(G39&lt;&gt;"",ScenaAttiva&amp;"_"&amp;AB$4&amp;TEXT(COUNTIF($G$3:G39,"&lt;&gt;"),"0000"),"")</f>
        <v/>
      </c>
      <c r="B39" t="str">
        <f>IF(A39&lt;&gt;"",SquadraAttiva,"")</f>
        <v/>
      </c>
      <c r="C39" t="str">
        <f t="shared" si="6"/>
        <v/>
      </c>
      <c r="D39" t="str">
        <f>IFERROR(_xlfn.XLOOKUP(C39,tblRisposte[idValutazione],tblRisposte[Valore],""),"")</f>
        <v/>
      </c>
      <c r="F39" t="s">
        <v>741</v>
      </c>
      <c r="H39" t="str" cm="1">
        <f t="array" ref="H39">_xlfn.LET(_xlpm.v,_xlfn.XLOOKUP(G39,tblValutazioni[TipoValutazione],tblValutazioni[MB],""),IF(_xlpm.v="","",_xlpm.v))</f>
        <v/>
      </c>
      <c r="I39" s="18">
        <f>IF(_xlfn.XLOOKUP($A39, tblRisposte[ItemKey],tblRisposte[Valore],"")="Molto bene","X",0)</f>
        <v>0</v>
      </c>
      <c r="J39" s="1">
        <f t="shared" si="1"/>
        <v>0</v>
      </c>
      <c r="K39" t="str" cm="1">
        <f t="array" ref="K39">_xlfn.LET(_xlpm.v,_xlfn.XLOOKUP(G39,tblValutazioni[TipoValutazione],tblValutazioni[BE],""),IF(_xlpm.v="","",_xlpm.v))</f>
        <v/>
      </c>
      <c r="L39" s="18">
        <f>IF(_xlfn.XLOOKUP($A39, tblRisposte[ItemKey], tblRisposte[Valore], "")="Bene","X",0)</f>
        <v>0</v>
      </c>
      <c r="M39" s="1">
        <f t="shared" si="2"/>
        <v>0</v>
      </c>
      <c r="N39" t="str" cm="1">
        <f t="array" ref="N39">_xlfn.LET(_xlpm.v,_xlfn.XLOOKUP(G39,tblValutazioni[TipoValutazione],tblValutazioni[SU],""),IF(_xlpm.v="","",_xlpm.v))</f>
        <v/>
      </c>
      <c r="O39" s="18">
        <f>IF(_xlfn.XLOOKUP($A39, tblRisposte[ItemKey], tblRisposte[Valore], "")="Soddisfacente","X",0)</f>
        <v>0</v>
      </c>
      <c r="P39" s="1">
        <f t="shared" si="3"/>
        <v>0</v>
      </c>
      <c r="Q39" t="str" cm="1">
        <f t="array" ref="Q39">_xlfn.LET(_xlpm.v,_xlfn.XLOOKUP(G39,tblValutazioni[TipoValutazione],tblValutazioni[IN],""),IF(_xlpm.v="","",_xlpm.v))</f>
        <v/>
      </c>
      <c r="R39" s="18">
        <f>IF(_xlfn.XLOOKUP($A39, tblRisposte[ItemKey], tblRisposte[Valore], "")="Insufficiente","X",0)</f>
        <v>0</v>
      </c>
      <c r="S39" s="1">
        <f t="shared" si="4"/>
        <v>0</v>
      </c>
      <c r="T39" t="str" cm="1">
        <f t="array" ref="T39">_xlfn.LET(_xlpm.v,_xlfn.XLOOKUP(G39,tblValutazioni[TipoValutazione],tblValutazioni[NE],""),IF(_xlpm.v="","",_xlpm.v))</f>
        <v/>
      </c>
      <c r="U39" s="18">
        <f>IF(_xlfn.XLOOKUP($A39, tblRisposte[ItemKey], tblRisposte[Valore], "")="Non eseguito","X",0)</f>
        <v>0</v>
      </c>
      <c r="V39" s="1">
        <f t="shared" si="5"/>
        <v>0</v>
      </c>
      <c r="W39">
        <f>COUNTIF(I39,"x")+COUNTIF(L39,"x")+COUNTIF(O39,"x")+COUNTIF(R39,"x")+COUNTIF(U39,"x")</f>
        <v>0</v>
      </c>
      <c r="X39" t="str">
        <f>IF(COUNTIF(I39:U39,"X")=1,"OK","errore")</f>
        <v>errore</v>
      </c>
    </row>
    <row r="40" spans="1:25" ht="15" customHeight="1">
      <c r="A40" t="str">
        <f>IF(G40&lt;&gt;"",ScenaAttiva&amp;"_"&amp;AB$4&amp;TEXT(COUNTIF($G$3:G40,"&lt;&gt;"),"0000"),"")</f>
        <v/>
      </c>
      <c r="B40" t="str">
        <f>IF(A40&lt;&gt;"",SquadraAttiva,"")</f>
        <v/>
      </c>
      <c r="C40" t="str">
        <f t="shared" si="6"/>
        <v/>
      </c>
      <c r="D40" t="str">
        <f>IFERROR(_xlfn.XLOOKUP(C40,tblRisposte[idValutazione],tblRisposte[Valore],""),"")</f>
        <v/>
      </c>
      <c r="F40" t="s">
        <v>722</v>
      </c>
      <c r="H40" t="str" cm="1">
        <f t="array" ref="H40">_xlfn.LET(_xlpm.v,_xlfn.XLOOKUP(G40,tblValutazioni[TipoValutazione],tblValutazioni[MB],""),IF(_xlpm.v="","",_xlpm.v))</f>
        <v/>
      </c>
      <c r="I40" s="18">
        <f>IF(_xlfn.XLOOKUP($A40, tblRisposte[ItemKey],tblRisposte[Valore],"")="Molto bene","X",0)</f>
        <v>0</v>
      </c>
      <c r="J40" s="1">
        <f t="shared" si="1"/>
        <v>0</v>
      </c>
      <c r="K40" t="str" cm="1">
        <f t="array" ref="K40">_xlfn.LET(_xlpm.v,_xlfn.XLOOKUP(G40,tblValutazioni[TipoValutazione],tblValutazioni[BE],""),IF(_xlpm.v="","",_xlpm.v))</f>
        <v/>
      </c>
      <c r="L40" s="18">
        <f>IF(_xlfn.XLOOKUP($A40, tblRisposte[ItemKey], tblRisposte[Valore], "")="Bene","X",0)</f>
        <v>0</v>
      </c>
      <c r="M40" s="1">
        <f t="shared" si="2"/>
        <v>0</v>
      </c>
      <c r="N40" t="str" cm="1">
        <f t="array" ref="N40">_xlfn.LET(_xlpm.v,_xlfn.XLOOKUP(G40,tblValutazioni[TipoValutazione],tblValutazioni[SU],""),IF(_xlpm.v="","",_xlpm.v))</f>
        <v/>
      </c>
      <c r="O40" s="18">
        <f>IF(_xlfn.XLOOKUP($A40, tblRisposte[ItemKey], tblRisposte[Valore], "")="Soddisfacente","X",0)</f>
        <v>0</v>
      </c>
      <c r="P40" s="1">
        <f t="shared" si="3"/>
        <v>0</v>
      </c>
      <c r="Q40" t="str" cm="1">
        <f t="array" ref="Q40">_xlfn.LET(_xlpm.v,_xlfn.XLOOKUP(G40,tblValutazioni[TipoValutazione],tblValutazioni[IN],""),IF(_xlpm.v="","",_xlpm.v))</f>
        <v/>
      </c>
      <c r="R40" s="18">
        <f>IF(_xlfn.XLOOKUP($A40, tblRisposte[ItemKey], tblRisposte[Valore], "")="Insufficiente","X",0)</f>
        <v>0</v>
      </c>
      <c r="S40" s="1">
        <f t="shared" si="4"/>
        <v>0</v>
      </c>
      <c r="T40" t="str" cm="1">
        <f t="array" ref="T40">_xlfn.LET(_xlpm.v,_xlfn.XLOOKUP(G40,tblValutazioni[TipoValutazione],tblValutazioni[NE],""),IF(_xlpm.v="","",_xlpm.v))</f>
        <v/>
      </c>
      <c r="U40" s="18">
        <f>IF(_xlfn.XLOOKUP($A40, tblRisposte[ItemKey], tblRisposte[Valore], "")="Non eseguito","X",0)</f>
        <v>0</v>
      </c>
      <c r="V40" s="1">
        <f t="shared" si="5"/>
        <v>0</v>
      </c>
      <c r="W40">
        <f>COUNTIF(I40,"x")+COUNTIF(L40,"x")+COUNTIF(O40,"x")+COUNTIF(R40,"x")+COUNTIF(U40,"x")</f>
        <v>0</v>
      </c>
      <c r="X40" t="str">
        <f>IF(COUNTIF(I40:U40,"X")=1,"OK","errore")</f>
        <v>errore</v>
      </c>
    </row>
    <row r="41" spans="1:25">
      <c r="A41" t="str">
        <f>IF(G41&lt;&gt;"",ScenaAttiva&amp;"_"&amp;AB$4&amp;TEXT(COUNTIF($G$3:G41,"&lt;&gt;"),"0000"),"")</f>
        <v/>
      </c>
      <c r="B41" t="str">
        <f>IF(A41&lt;&gt;"",SquadraAttiva,"")</f>
        <v/>
      </c>
      <c r="C41" t="str">
        <f t="shared" si="6"/>
        <v/>
      </c>
      <c r="D41" t="str">
        <f>IFERROR(_xlfn.XLOOKUP(C41,tblRisposte[idValutazione],tblRisposte[Valore],""),"")</f>
        <v/>
      </c>
      <c r="F41" t="s">
        <v>723</v>
      </c>
      <c r="H41" t="str" cm="1">
        <f t="array" ref="H41">_xlfn.LET(_xlpm.v,_xlfn.XLOOKUP(G41,tblValutazioni[TipoValutazione],tblValutazioni[MB],""),IF(_xlpm.v="","",_xlpm.v))</f>
        <v/>
      </c>
      <c r="I41" s="18">
        <f>IF(_xlfn.XLOOKUP($A41, tblRisposte[ItemKey],tblRisposte[Valore],"")="Molto bene","X",0)</f>
        <v>0</v>
      </c>
      <c r="J41" s="1">
        <f t="shared" si="1"/>
        <v>0</v>
      </c>
      <c r="K41" t="str" cm="1">
        <f t="array" ref="K41">_xlfn.LET(_xlpm.v,_xlfn.XLOOKUP(G41,tblValutazioni[TipoValutazione],tblValutazioni[BE],""),IF(_xlpm.v="","",_xlpm.v))</f>
        <v/>
      </c>
      <c r="L41" s="18">
        <f>IF(_xlfn.XLOOKUP($A41, tblRisposte[ItemKey], tblRisposte[Valore], "")="Bene","X",0)</f>
        <v>0</v>
      </c>
      <c r="M41" s="1">
        <f t="shared" si="2"/>
        <v>0</v>
      </c>
      <c r="N41" t="str" cm="1">
        <f t="array" ref="N41">_xlfn.LET(_xlpm.v,_xlfn.XLOOKUP(G41,tblValutazioni[TipoValutazione],tblValutazioni[SU],""),IF(_xlpm.v="","",_xlpm.v))</f>
        <v/>
      </c>
      <c r="O41" s="18">
        <f>IF(_xlfn.XLOOKUP($A41, tblRisposte[ItemKey], tblRisposte[Valore], "")="Soddisfacente","X",0)</f>
        <v>0</v>
      </c>
      <c r="P41" s="1">
        <f t="shared" si="3"/>
        <v>0</v>
      </c>
      <c r="Q41" t="str" cm="1">
        <f t="array" ref="Q41">_xlfn.LET(_xlpm.v,_xlfn.XLOOKUP(G41,tblValutazioni[TipoValutazione],tblValutazioni[IN],""),IF(_xlpm.v="","",_xlpm.v))</f>
        <v/>
      </c>
      <c r="R41" s="18">
        <f>IF(_xlfn.XLOOKUP($A41, tblRisposte[ItemKey], tblRisposte[Valore], "")="Insufficiente","X",0)</f>
        <v>0</v>
      </c>
      <c r="S41" s="1">
        <f t="shared" si="4"/>
        <v>0</v>
      </c>
      <c r="T41" t="str" cm="1">
        <f t="array" ref="T41">_xlfn.LET(_xlpm.v,_xlfn.XLOOKUP(G41,tblValutazioni[TipoValutazione],tblValutazioni[NE],""),IF(_xlpm.v="","",_xlpm.v))</f>
        <v/>
      </c>
      <c r="U41" s="18">
        <f>IF(_xlfn.XLOOKUP($A41, tblRisposte[ItemKey], tblRisposte[Valore], "")="Non eseguito","X",0)</f>
        <v>0</v>
      </c>
      <c r="V41" s="1">
        <f t="shared" si="5"/>
        <v>0</v>
      </c>
      <c r="W41">
        <f>COUNTIF(I41,"x")+COUNTIF(L41,"x")+COUNTIF(O41,"x")+COUNTIF(R41,"x")+COUNTIF(U41,"x")</f>
        <v>0</v>
      </c>
      <c r="X41" t="str">
        <f>IF(COUNTIF(I41:U41,"X")=1,"OK","errore")</f>
        <v>errore</v>
      </c>
    </row>
    <row r="42" spans="1:25">
      <c r="A42" s="23"/>
      <c r="B42" s="23"/>
      <c r="C42" s="23"/>
      <c r="D42" s="23"/>
      <c r="E42" s="23"/>
      <c r="F42" s="23" t="s">
        <v>728</v>
      </c>
      <c r="G42" s="23"/>
      <c r="H42" s="23"/>
      <c r="I42" s="23">
        <f>SUM(J2:J41)</f>
        <v>0</v>
      </c>
      <c r="J42" s="23"/>
      <c r="K42" s="24"/>
      <c r="L42" s="23">
        <f>SUM(M2:M41)</f>
        <v>0</v>
      </c>
      <c r="M42" s="23"/>
      <c r="N42" s="24"/>
      <c r="O42" s="23">
        <f>SUM(P2:P41)</f>
        <v>0</v>
      </c>
      <c r="P42" s="23"/>
      <c r="Q42" s="24"/>
      <c r="R42" s="23">
        <f>SUM(S2:S41)</f>
        <v>0</v>
      </c>
      <c r="S42" s="23"/>
      <c r="T42" s="24"/>
      <c r="U42" s="23">
        <f>SUM(V2:V41)</f>
        <v>0</v>
      </c>
      <c r="V42" s="23"/>
      <c r="W42" s="23"/>
      <c r="X42" s="23"/>
    </row>
    <row r="43" spans="1:25">
      <c r="A43" s="23"/>
      <c r="B43" s="23"/>
      <c r="C43" s="23"/>
      <c r="D43" s="23"/>
      <c r="E43" s="23"/>
      <c r="F43" s="25" t="s">
        <v>728</v>
      </c>
      <c r="G43" s="25"/>
      <c r="H43" s="25"/>
      <c r="I43" s="25"/>
      <c r="J43" s="25">
        <f>I42+L42+O42+R42+U42</f>
        <v>0</v>
      </c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</row>
    <row r="44" spans="1:25" ht="15" customHeight="1">
      <c r="A44" s="23"/>
      <c r="B44" s="23"/>
      <c r="C44" s="23"/>
      <c r="D44" s="23"/>
      <c r="E44" s="23"/>
      <c r="F44" s="23" t="s">
        <v>653</v>
      </c>
      <c r="G44" s="23"/>
      <c r="H44" s="23"/>
      <c r="I44" s="23"/>
      <c r="J44" s="23">
        <f>SUM(Y2:Y39)</f>
        <v>0</v>
      </c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</row>
  </sheetData>
  <mergeCells count="5">
    <mergeCell ref="K1:M1"/>
    <mergeCell ref="Q1:S1"/>
    <mergeCell ref="T1:V1"/>
    <mergeCell ref="H1:J1"/>
    <mergeCell ref="N1:P1"/>
  </mergeCells>
  <conditionalFormatting sqref="X2">
    <cfRule type="containsText" dxfId="36" priority="3" operator="containsText" text="OK">
      <formula>NOT(ISERROR(SEARCH("OK",X2)))</formula>
    </cfRule>
    <cfRule type="containsText" dxfId="35" priority="4" operator="containsText" text="errore">
      <formula>NOT(ISERROR(SEARCH("errore",X2)))</formula>
    </cfRule>
  </conditionalFormatting>
  <conditionalFormatting sqref="X3:X41">
    <cfRule type="containsText" dxfId="34" priority="1" operator="containsText" text="OK">
      <formula>NOT(ISERROR(SEARCH("OK",X3)))</formula>
    </cfRule>
    <cfRule type="containsText" dxfId="33" priority="2" operator="containsText" text="errore">
      <formula>NOT(ISERROR(SEARCH("errore",X3)))</formula>
    </cfRule>
  </conditionalFormatting>
  <dataValidations count="1">
    <dataValidation type="list" allowBlank="1" showInputMessage="1" showErrorMessage="1" sqref="G3:G41" xr:uid="{2FB1924A-D963-4169-9719-407E7781AF70}">
      <formula1>lstTipoValutazione</formula1>
    </dataValidation>
  </dataValidation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5"/>
  <dimension ref="A1:AE43"/>
  <sheetViews>
    <sheetView workbookViewId="0">
      <selection activeCell="E26" sqref="E26:E27"/>
    </sheetView>
  </sheetViews>
  <sheetFormatPr defaultColWidth="8.85546875" defaultRowHeight="15" customHeight="1" outlineLevelCol="1"/>
  <cols>
    <col min="1" max="1" width="11.140625" bestFit="1" customWidth="1"/>
    <col min="2" max="2" width="5.140625" customWidth="1"/>
    <col min="3" max="3" width="11.140625" customWidth="1"/>
    <col min="4" max="5" width="6.140625" customWidth="1"/>
    <col min="6" max="6" width="57.42578125" customWidth="1"/>
    <col min="7" max="7" width="17" customWidth="1"/>
    <col min="8" max="8" width="4.42578125" customWidth="1" outlineLevel="1"/>
    <col min="9" max="10" width="4.42578125" customWidth="1"/>
    <col min="11" max="11" width="4.42578125" customWidth="1" outlineLevel="1"/>
    <col min="12" max="13" width="4.42578125" customWidth="1"/>
    <col min="14" max="14" width="4.42578125" customWidth="1" outlineLevel="1"/>
    <col min="15" max="16" width="4.42578125" customWidth="1"/>
    <col min="17" max="17" width="4.42578125" customWidth="1" outlineLevel="1"/>
    <col min="18" max="19" width="4.42578125" customWidth="1"/>
    <col min="20" max="20" width="4.42578125" customWidth="1" outlineLevel="1"/>
    <col min="21" max="22" width="4.42578125" customWidth="1"/>
    <col min="23" max="23" width="8.85546875" customWidth="1" outlineLevel="1"/>
    <col min="26" max="26" width="12.42578125" customWidth="1"/>
    <col min="27" max="27" width="9.42578125" bestFit="1" customWidth="1"/>
    <col min="28" max="28" width="12.42578125" customWidth="1"/>
    <col min="29" max="29" width="9.42578125" bestFit="1" customWidth="1"/>
    <col min="30" max="30" width="12.42578125" customWidth="1"/>
  </cols>
  <sheetData>
    <row r="1" spans="1:31" thickBot="1">
      <c r="B1" t="s">
        <v>705</v>
      </c>
      <c r="C1" t="s">
        <v>706</v>
      </c>
      <c r="D1" t="s">
        <v>707</v>
      </c>
      <c r="E1" t="s">
        <v>653</v>
      </c>
      <c r="H1" s="127" t="s">
        <v>709</v>
      </c>
      <c r="I1" s="144"/>
      <c r="J1" s="145"/>
      <c r="K1" s="126" t="s">
        <v>710</v>
      </c>
      <c r="L1" s="144"/>
      <c r="M1" s="145"/>
      <c r="N1" s="126" t="s">
        <v>711</v>
      </c>
      <c r="O1" s="144"/>
      <c r="P1" s="145"/>
      <c r="Q1" s="126" t="s">
        <v>712</v>
      </c>
      <c r="R1" s="144"/>
      <c r="S1" s="145"/>
      <c r="T1" s="126" t="s">
        <v>713</v>
      </c>
      <c r="U1" s="144"/>
      <c r="V1" s="145"/>
      <c r="Y1" t="s">
        <v>653</v>
      </c>
    </row>
    <row r="2" spans="1:31" ht="15" customHeight="1">
      <c r="A2" t="str">
        <f>IF(G2&lt;&gt;"",ScenaAttiva&amp;"_"&amp;AB$4&amp;TEXT(COUNTIF($G2:G$3,"&lt;&gt;"),"0000"),"")</f>
        <v/>
      </c>
      <c r="B2" t="str">
        <f>IF(A2&lt;&gt;"",SquadraAttiva,"")</f>
        <v/>
      </c>
      <c r="C2" t="str">
        <f>IF(A2&lt;&gt;"",TEXT(B2,"0")&amp;"-"&amp;TRIM(A2),"")</f>
        <v/>
      </c>
      <c r="D2" t="str">
        <f>IFERROR(_xlfn.XLOOKUP(C2,tblRisposte[idValutazione],tblRisposte[Valore],""),"")</f>
        <v/>
      </c>
      <c r="F2" s="26" t="s">
        <v>117</v>
      </c>
      <c r="G2" s="26"/>
      <c r="H2" s="26"/>
      <c r="I2" s="27"/>
      <c r="J2" s="28"/>
      <c r="K2" s="29"/>
      <c r="L2" s="27"/>
      <c r="M2" s="28"/>
      <c r="N2" s="29"/>
      <c r="O2" s="27"/>
      <c r="P2" s="28"/>
      <c r="Q2" s="29"/>
      <c r="R2" s="27"/>
      <c r="S2" s="28"/>
      <c r="T2" s="29"/>
      <c r="U2" s="27"/>
      <c r="V2" s="28"/>
      <c r="W2" s="26"/>
      <c r="Z2" s="4" t="s">
        <v>715</v>
      </c>
      <c r="AA2" s="5" t="s">
        <v>4</v>
      </c>
      <c r="AB2" s="5" t="s">
        <v>278</v>
      </c>
      <c r="AC2" s="5">
        <v>1</v>
      </c>
      <c r="AD2" s="5" t="s">
        <v>661</v>
      </c>
      <c r="AE2" s="6">
        <v>2</v>
      </c>
    </row>
    <row r="3" spans="1:31" ht="15" customHeight="1">
      <c r="A3" t="str">
        <f>IF(G3&lt;&gt;"",ScenaAttiva&amp;"_"&amp;AB$4&amp;TEXT(COUNTIF($G3:G$3,"&lt;&gt;"),"0000"),"")</f>
        <v>A_TCR0001</v>
      </c>
      <c r="B3">
        <f>IF(A3&lt;&gt;"",SquadraAttiva,"")</f>
        <v>3</v>
      </c>
      <c r="C3" t="str">
        <f t="shared" ref="C3:C33" si="0">IF(A3&lt;&gt;"",TEXT(B3,"0")&amp;"-"&amp;TRIM(A3),"")</f>
        <v>3-A_TCR0001</v>
      </c>
      <c r="D3">
        <f>IFERROR(_xlfn.XLOOKUP(C3,tblRisposte[idValutazione],tblRisposte[Valore],""),"")</f>
        <v>3</v>
      </c>
      <c r="F3" s="78" t="s">
        <v>167</v>
      </c>
      <c r="G3" t="s">
        <v>36</v>
      </c>
      <c r="H3" cm="1">
        <f t="array" ref="H3">_xlfn.LET(_xlpm.v,_xlfn.XLOOKUP(G3,tblValutazioni[TipoValutazione],tblValutazioni[MB],""),IF(_xlpm.v="","",_xlpm.v))</f>
        <v>3</v>
      </c>
      <c r="I3" s="18">
        <f>IF(_xlfn.XLOOKUP($A3, tblRisposte[ItemKey],tblRisposte[Valore],"")="Molto bene","X",0)</f>
        <v>0</v>
      </c>
      <c r="J3" s="1">
        <f>IF((I3="X"),H3,0)</f>
        <v>0</v>
      </c>
      <c r="K3" t="str" cm="1">
        <f t="array" ref="K3">_xlfn.LET(_xlpm.v,_xlfn.XLOOKUP(G3,tblValutazioni[TipoValutazione],tblValutazioni[BE],""),IF(_xlpm.v="","",_xlpm.v))</f>
        <v/>
      </c>
      <c r="L3" s="18">
        <f>IF(_xlfn.XLOOKUP($A3, tblRisposte[ItemKey], tblRisposte[Valore], "")="Bene","X",0)</f>
        <v>0</v>
      </c>
      <c r="M3" s="1">
        <f>IF((L3="X"),K3,0)</f>
        <v>0</v>
      </c>
      <c r="N3" cm="1">
        <f t="array" ref="N3">_xlfn.LET(_xlpm.v,_xlfn.XLOOKUP(G3,tblValutazioni[TipoValutazione],tblValutazioni[SU],""),IF(_xlpm.v="","",_xlpm.v))</f>
        <v>1</v>
      </c>
      <c r="O3" s="18">
        <f>IF(_xlfn.XLOOKUP($A3, tblRisposte[ItemKey], tblRisposte[Valore], "")="Soddisfacente","X",0)</f>
        <v>0</v>
      </c>
      <c r="P3" s="1">
        <f>IF((O3="X"),N3,0)</f>
        <v>0</v>
      </c>
      <c r="Q3" t="str" cm="1">
        <f t="array" ref="Q3">_xlfn.LET(_xlpm.v,_xlfn.XLOOKUP(G3,tblValutazioni[TipoValutazione],tblValutazioni[IN],""),IF(_xlpm.v="","",_xlpm.v))</f>
        <v/>
      </c>
      <c r="R3" s="18">
        <f>IF(_xlfn.XLOOKUP($A3, tblRisposte[ItemKey], tblRisposte[Valore], "")="Insufficiente","X",0)</f>
        <v>0</v>
      </c>
      <c r="S3" s="1">
        <f>IF((R3="X"),Q3,0)</f>
        <v>0</v>
      </c>
      <c r="T3" cm="1">
        <f t="array" ref="T3">_xlfn.LET(_xlpm.v,_xlfn.XLOOKUP(G3,tblValutazioni[TipoValutazione],tblValutazioni[NE],""),IF(_xlpm.v="","",_xlpm.v))</f>
        <v>0</v>
      </c>
      <c r="U3" s="18">
        <f>IF(_xlfn.XLOOKUP($A3, tblRisposte[ItemKey], tblRisposte[Valore], "")="Non eseguito","X",0)</f>
        <v>0</v>
      </c>
      <c r="V3" s="1">
        <f>IF((U3="X"),T3,0)</f>
        <v>0</v>
      </c>
      <c r="W3">
        <f>COUNTIF(I3,"x")+COUNTIF(L3,"x")+COUNTIF(O3,"x")+COUNTIF(R3,"x")+COUNTIF(U3,"x")</f>
        <v>0</v>
      </c>
      <c r="X3" t="str">
        <f>IF(COUNTIF(I3:U3,"X")=1,"OK","errore")</f>
        <v>errore</v>
      </c>
      <c r="Y3" t="str">
        <f>IF(D3="SEP",IF(I3="x",H3,IF(L3="X",K3,IF(O3="x",N3,IF(R3="X",Q3,IF(U3="X",T3,""))))),"")</f>
        <v/>
      </c>
      <c r="Z3" s="7"/>
      <c r="AE3" s="8"/>
    </row>
    <row r="4" spans="1:31" ht="15" customHeight="1">
      <c r="A4" t="str">
        <f>IF(G4&lt;&gt;"",ScenaAttiva&amp;"_"&amp;AB$4&amp;TEXT(COUNTIF($G$3:G4,"&lt;&gt;"),"0000"),"")</f>
        <v>A_TCR0002</v>
      </c>
      <c r="B4">
        <f>IF(A4&lt;&gt;"",SquadraAttiva,"")</f>
        <v>3</v>
      </c>
      <c r="C4" t="str">
        <f t="shared" si="0"/>
        <v>3-A_TCR0002</v>
      </c>
      <c r="D4">
        <f>IFERROR(_xlfn.XLOOKUP(C4,tblRisposte[idValutazione],tblRisposte[Valore],""),"")</f>
        <v>2</v>
      </c>
      <c r="F4" s="78" t="s">
        <v>169</v>
      </c>
      <c r="G4" t="s">
        <v>35</v>
      </c>
      <c r="H4" cm="1">
        <f t="array" ref="H4">_xlfn.LET(_xlpm.v,_xlfn.XLOOKUP(G4,tblValutazioni[TipoValutazione],tblValutazioni[MB],""),IF(_xlpm.v="","",_xlpm.v))</f>
        <v>5</v>
      </c>
      <c r="I4" s="18">
        <f>IF(_xlfn.XLOOKUP($A4, tblRisposte[ItemKey],tblRisposte[Valore],"")="Molto bene","X",0)</f>
        <v>0</v>
      </c>
      <c r="J4" s="1">
        <f t="shared" ref="J4:J40" si="1">IF((I4="X"),H4,0)</f>
        <v>0</v>
      </c>
      <c r="K4" cm="1">
        <f t="array" ref="K4">_xlfn.LET(_xlpm.v,_xlfn.XLOOKUP(G4,tblValutazioni[TipoValutazione],tblValutazioni[BE],""),IF(_xlpm.v="","",_xlpm.v))</f>
        <v>4</v>
      </c>
      <c r="L4" s="18">
        <f>IF(_xlfn.XLOOKUP($A4, tblRisposte[ItemKey], tblRisposte[Valore], "")="Bene","X",0)</f>
        <v>0</v>
      </c>
      <c r="M4" s="1">
        <f t="shared" ref="M4:M40" si="2">IF((L4="X"),K4,0)</f>
        <v>0</v>
      </c>
      <c r="N4" cm="1">
        <f t="array" ref="N4">_xlfn.LET(_xlpm.v,_xlfn.XLOOKUP(G4,tblValutazioni[TipoValutazione],tblValutazioni[SU],""),IF(_xlpm.v="","",_xlpm.v))</f>
        <v>2</v>
      </c>
      <c r="O4" s="18">
        <f>IF(_xlfn.XLOOKUP($A4, tblRisposte[ItemKey], tblRisposte[Valore], "")="Soddisfacente","X",0)</f>
        <v>0</v>
      </c>
      <c r="P4" s="1">
        <f t="shared" ref="P4:P40" si="3">IF((O4="X"),N4,0)</f>
        <v>0</v>
      </c>
      <c r="Q4" cm="1">
        <f t="array" ref="Q4">_xlfn.LET(_xlpm.v,_xlfn.XLOOKUP(G4,tblValutazioni[TipoValutazione],tblValutazioni[IN],""),IF(_xlpm.v="","",_xlpm.v))</f>
        <v>1</v>
      </c>
      <c r="R4" s="18">
        <f>IF(_xlfn.XLOOKUP($A4, tblRisposte[ItemKey], tblRisposte[Valore], "")="Insufficiente","X",0)</f>
        <v>0</v>
      </c>
      <c r="S4" s="1">
        <f t="shared" ref="S4:S40" si="4">IF((R4="X"),Q4,0)</f>
        <v>0</v>
      </c>
      <c r="T4" cm="1">
        <f t="array" ref="T4">_xlfn.LET(_xlpm.v,_xlfn.XLOOKUP(G4,tblValutazioni[TipoValutazione],tblValutazioni[NE],""),IF(_xlpm.v="","",_xlpm.v))</f>
        <v>0</v>
      </c>
      <c r="U4" s="18">
        <f>IF(_xlfn.XLOOKUP($A4, tblRisposte[ItemKey], tblRisposte[Valore], "")="Non eseguito","X",0)</f>
        <v>0</v>
      </c>
      <c r="V4" s="1">
        <f t="shared" ref="V4:V40" si="5">IF((U4="X"),T4,0)</f>
        <v>0</v>
      </c>
      <c r="W4">
        <f t="shared" ref="W4:W40" si="6">COUNTIF(I4,"x")+COUNTIF(L4,"x")+COUNTIF(O4,"x")+COUNTIF(R4,"x")+COUNTIF(U4,"x")</f>
        <v>0</v>
      </c>
      <c r="X4" t="str">
        <f>IF(COUNTIF(I4:U4,"X")=1,"OK","errore")</f>
        <v>errore</v>
      </c>
      <c r="Y4" t="str">
        <f>IF(D4="SEP",IF(I4="x",H4,IF(L4="X",K4,IF(O4="x",N4,IF(R4="X",Q4,IF(U4="X",T4,""))))),"")</f>
        <v/>
      </c>
      <c r="Z4" s="9" t="s">
        <v>662</v>
      </c>
      <c r="AA4" s="10">
        <v>3</v>
      </c>
      <c r="AB4" t="str" cm="1">
        <f t="array" ref="AB4">INDEX(tblMapSchede[[#All],[SIGLA]],AA$4+2)</f>
        <v>TCR</v>
      </c>
      <c r="AC4" s="10"/>
      <c r="AD4" s="10"/>
      <c r="AE4" s="11"/>
    </row>
    <row r="5" spans="1:31" ht="15" customHeight="1">
      <c r="A5" t="str">
        <f>IF(G5&lt;&gt;"",ScenaAttiva&amp;"_"&amp;AB$4&amp;TEXT(COUNTIF($G$3:G5,"&lt;&gt;"),"0000"),"")</f>
        <v>A_TCR0003</v>
      </c>
      <c r="B5">
        <f>IF(A5&lt;&gt;"",SquadraAttiva,"")</f>
        <v>3</v>
      </c>
      <c r="C5" t="str">
        <f t="shared" si="0"/>
        <v>3-A_TCR0003</v>
      </c>
      <c r="D5">
        <f>IFERROR(_xlfn.XLOOKUP(C5,tblRisposte[idValutazione],tblRisposte[Valore],""),"")</f>
        <v>0</v>
      </c>
      <c r="F5" s="78" t="s">
        <v>171</v>
      </c>
      <c r="G5" t="s">
        <v>35</v>
      </c>
      <c r="H5" cm="1">
        <f t="array" ref="H5">_xlfn.LET(_xlpm.v,_xlfn.XLOOKUP(G5,tblValutazioni[TipoValutazione],tblValutazioni[MB],""),IF(_xlpm.v="","",_xlpm.v))</f>
        <v>5</v>
      </c>
      <c r="I5" s="18">
        <f>IF(_xlfn.XLOOKUP($A5, tblRisposte[ItemKey],tblRisposte[Valore],"")="Molto bene","X",0)</f>
        <v>0</v>
      </c>
      <c r="J5" s="1">
        <f t="shared" si="1"/>
        <v>0</v>
      </c>
      <c r="K5" cm="1">
        <f t="array" ref="K5">_xlfn.LET(_xlpm.v,_xlfn.XLOOKUP(G5,tblValutazioni[TipoValutazione],tblValutazioni[BE],""),IF(_xlpm.v="","",_xlpm.v))</f>
        <v>4</v>
      </c>
      <c r="L5" s="18">
        <f>IF(_xlfn.XLOOKUP($A5, tblRisposte[ItemKey], tblRisposte[Valore], "")="Bene","X",0)</f>
        <v>0</v>
      </c>
      <c r="M5" s="1">
        <f t="shared" si="2"/>
        <v>0</v>
      </c>
      <c r="N5" cm="1">
        <f t="array" ref="N5">_xlfn.LET(_xlpm.v,_xlfn.XLOOKUP(G5,tblValutazioni[TipoValutazione],tblValutazioni[SU],""),IF(_xlpm.v="","",_xlpm.v))</f>
        <v>2</v>
      </c>
      <c r="O5" s="18">
        <f>IF(_xlfn.XLOOKUP($A5, tblRisposte[ItemKey], tblRisposte[Valore], "")="Soddisfacente","X",0)</f>
        <v>0</v>
      </c>
      <c r="P5" s="1">
        <f t="shared" si="3"/>
        <v>0</v>
      </c>
      <c r="Q5" cm="1">
        <f t="array" ref="Q5">_xlfn.LET(_xlpm.v,_xlfn.XLOOKUP(G5,tblValutazioni[TipoValutazione],tblValutazioni[IN],""),IF(_xlpm.v="","",_xlpm.v))</f>
        <v>1</v>
      </c>
      <c r="R5" s="18">
        <f>IF(_xlfn.XLOOKUP($A5, tblRisposte[ItemKey], tblRisposte[Valore], "")="Insufficiente","X",0)</f>
        <v>0</v>
      </c>
      <c r="S5" s="1">
        <f t="shared" si="4"/>
        <v>0</v>
      </c>
      <c r="T5" cm="1">
        <f t="array" ref="T5">_xlfn.LET(_xlpm.v,_xlfn.XLOOKUP(G5,tblValutazioni[TipoValutazione],tblValutazioni[NE],""),IF(_xlpm.v="","",_xlpm.v))</f>
        <v>0</v>
      </c>
      <c r="U5" s="18">
        <f>IF(_xlfn.XLOOKUP($A5, tblRisposte[ItemKey], tblRisposte[Valore], "")="Non eseguito","X",0)</f>
        <v>0</v>
      </c>
      <c r="V5" s="1">
        <f t="shared" si="5"/>
        <v>0</v>
      </c>
      <c r="W5">
        <f t="shared" si="6"/>
        <v>0</v>
      </c>
      <c r="X5" t="str">
        <f>IF(COUNTIF(I5:U5,"X")=1,"OK","errore")</f>
        <v>errore</v>
      </c>
      <c r="Y5" t="str">
        <f>IF(D5="SEP",IF(I5="x",H5,IF(L5="X",K5,IF(O5="x",N5,IF(R5="X",Q5,IF(U5="X",T5,""))))),"")</f>
        <v/>
      </c>
    </row>
    <row r="6" spans="1:31" ht="15" customHeight="1">
      <c r="A6" t="str">
        <f>IF(G6&lt;&gt;"",ScenaAttiva&amp;"_"&amp;AB$4&amp;TEXT(COUNTIF($G$3:G6,"&lt;&gt;"),"0000"),"")</f>
        <v>A_TCR0004</v>
      </c>
      <c r="B6">
        <f>IF(A6&lt;&gt;"",SquadraAttiva,"")</f>
        <v>3</v>
      </c>
      <c r="C6" t="str">
        <f t="shared" si="0"/>
        <v>3-A_TCR0004</v>
      </c>
      <c r="D6">
        <f>IFERROR(_xlfn.XLOOKUP(C6,tblRisposte[idValutazione],tblRisposte[Valore],""),"")</f>
        <v>2</v>
      </c>
      <c r="F6" s="78" t="s">
        <v>63</v>
      </c>
      <c r="G6" t="s">
        <v>35</v>
      </c>
      <c r="H6" cm="1">
        <f t="array" ref="H6">_xlfn.LET(_xlpm.v,_xlfn.XLOOKUP(G6,tblValutazioni[TipoValutazione],tblValutazioni[MB],""),IF(_xlpm.v="","",_xlpm.v))</f>
        <v>5</v>
      </c>
      <c r="I6" s="18">
        <f>IF(_xlfn.XLOOKUP($A6, tblRisposte[ItemKey],tblRisposte[Valore],"")="Molto bene","X",0)</f>
        <v>0</v>
      </c>
      <c r="J6" s="1">
        <f t="shared" si="1"/>
        <v>0</v>
      </c>
      <c r="K6" cm="1">
        <f t="array" ref="K6">_xlfn.LET(_xlpm.v,_xlfn.XLOOKUP(G6,tblValutazioni[TipoValutazione],tblValutazioni[BE],""),IF(_xlpm.v="","",_xlpm.v))</f>
        <v>4</v>
      </c>
      <c r="L6" s="18">
        <f>IF(_xlfn.XLOOKUP($A6, tblRisposte[ItemKey], tblRisposte[Valore], "")="Bene","X",0)</f>
        <v>0</v>
      </c>
      <c r="M6" s="1">
        <f t="shared" si="2"/>
        <v>0</v>
      </c>
      <c r="N6" cm="1">
        <f t="array" ref="N6">_xlfn.LET(_xlpm.v,_xlfn.XLOOKUP(G6,tblValutazioni[TipoValutazione],tblValutazioni[SU],""),IF(_xlpm.v="","",_xlpm.v))</f>
        <v>2</v>
      </c>
      <c r="O6" s="18">
        <f>IF(_xlfn.XLOOKUP($A6, tblRisposte[ItemKey], tblRisposte[Valore], "")="Soddisfacente","X",0)</f>
        <v>0</v>
      </c>
      <c r="P6" s="1">
        <f t="shared" si="3"/>
        <v>0</v>
      </c>
      <c r="Q6" cm="1">
        <f t="array" ref="Q6">_xlfn.LET(_xlpm.v,_xlfn.XLOOKUP(G6,tblValutazioni[TipoValutazione],tblValutazioni[IN],""),IF(_xlpm.v="","",_xlpm.v))</f>
        <v>1</v>
      </c>
      <c r="R6" s="18">
        <f>IF(_xlfn.XLOOKUP($A6, tblRisposte[ItemKey], tblRisposte[Valore], "")="Insufficiente","X",0)</f>
        <v>0</v>
      </c>
      <c r="S6" s="1">
        <f t="shared" si="4"/>
        <v>0</v>
      </c>
      <c r="T6" cm="1">
        <f t="array" ref="T6">_xlfn.LET(_xlpm.v,_xlfn.XLOOKUP(G6,tblValutazioni[TipoValutazione],tblValutazioni[NE],""),IF(_xlpm.v="","",_xlpm.v))</f>
        <v>0</v>
      </c>
      <c r="U6" s="18">
        <f>IF(_xlfn.XLOOKUP($A6, tblRisposte[ItemKey], tblRisposte[Valore], "")="Non eseguito","X",0)</f>
        <v>0</v>
      </c>
      <c r="V6" s="1">
        <f t="shared" si="5"/>
        <v>0</v>
      </c>
      <c r="W6">
        <f t="shared" si="6"/>
        <v>0</v>
      </c>
      <c r="X6" t="str">
        <f>IF(COUNTIF(I6:U6,"X")=1,"OK","errore")</f>
        <v>errore</v>
      </c>
      <c r="Y6" t="str">
        <f>IF(D6="SEP",IF(I6="x",H6,IF(L6="X",K6,IF(O6="x",N6,IF(R6="X",Q6,IF(U6="X",T6,""))))),"")</f>
        <v/>
      </c>
      <c r="Z6" t="s">
        <v>746</v>
      </c>
    </row>
    <row r="7" spans="1:31" ht="15" customHeight="1">
      <c r="A7" t="str">
        <f>IF(G7&lt;&gt;"",ScenaAttiva&amp;"_"&amp;AB$4&amp;TEXT(COUNTIF($G$3:G7,"&lt;&gt;"),"0000"),"")</f>
        <v>A_TCR0005</v>
      </c>
      <c r="B7">
        <f>IF(A7&lt;&gt;"",SquadraAttiva,"")</f>
        <v>3</v>
      </c>
      <c r="C7" t="str">
        <f t="shared" si="0"/>
        <v>3-A_TCR0005</v>
      </c>
      <c r="D7">
        <f>IFERROR(_xlfn.XLOOKUP(C7,tblRisposte[idValutazione],tblRisposte[Valore],""),"")</f>
        <v>3</v>
      </c>
      <c r="E7" t="s">
        <v>653</v>
      </c>
      <c r="F7" s="78" t="s">
        <v>124</v>
      </c>
      <c r="G7" t="s">
        <v>36</v>
      </c>
      <c r="H7" cm="1">
        <f t="array" ref="H7">_xlfn.LET(_xlpm.v,_xlfn.XLOOKUP(G7,tblValutazioni[TipoValutazione],tblValutazioni[MB],""),IF(_xlpm.v="","",_xlpm.v))</f>
        <v>3</v>
      </c>
      <c r="I7" s="18">
        <f>IF(_xlfn.XLOOKUP($A7, tblRisposte[ItemKey],tblRisposte[Valore],"")="Molto bene","X",0)</f>
        <v>0</v>
      </c>
      <c r="J7" s="1">
        <f t="shared" si="1"/>
        <v>0</v>
      </c>
      <c r="K7" t="str" cm="1">
        <f t="array" ref="K7">_xlfn.LET(_xlpm.v,_xlfn.XLOOKUP(G7,tblValutazioni[TipoValutazione],tblValutazioni[BE],""),IF(_xlpm.v="","",_xlpm.v))</f>
        <v/>
      </c>
      <c r="L7" s="18">
        <f>IF(_xlfn.XLOOKUP($A7, tblRisposte[ItemKey], tblRisposte[Valore], "")="Bene","X",0)</f>
        <v>0</v>
      </c>
      <c r="M7" s="1">
        <f t="shared" si="2"/>
        <v>0</v>
      </c>
      <c r="N7" cm="1">
        <f t="array" ref="N7">_xlfn.LET(_xlpm.v,_xlfn.XLOOKUP(G7,tblValutazioni[TipoValutazione],tblValutazioni[SU],""),IF(_xlpm.v="","",_xlpm.v))</f>
        <v>1</v>
      </c>
      <c r="O7" s="18">
        <f>IF(_xlfn.XLOOKUP($A7, tblRisposte[ItemKey], tblRisposte[Valore], "")="Soddisfacente","X",0)</f>
        <v>0</v>
      </c>
      <c r="P7" s="1">
        <f t="shared" si="3"/>
        <v>0</v>
      </c>
      <c r="Q7" t="str" cm="1">
        <f t="array" ref="Q7">_xlfn.LET(_xlpm.v,_xlfn.XLOOKUP(G7,tblValutazioni[TipoValutazione],tblValutazioni[IN],""),IF(_xlpm.v="","",_xlpm.v))</f>
        <v/>
      </c>
      <c r="R7" s="18">
        <f>IF(_xlfn.XLOOKUP($A7, tblRisposte[ItemKey], tblRisposte[Valore], "")="Insufficiente","X",0)</f>
        <v>0</v>
      </c>
      <c r="S7" s="1">
        <f t="shared" si="4"/>
        <v>0</v>
      </c>
      <c r="T7" cm="1">
        <f t="array" ref="T7">_xlfn.LET(_xlpm.v,_xlfn.XLOOKUP(G7,tblValutazioni[TipoValutazione],tblValutazioni[NE],""),IF(_xlpm.v="","",_xlpm.v))</f>
        <v>0</v>
      </c>
      <c r="U7" s="18">
        <f>IF(_xlfn.XLOOKUP($A7, tblRisposte[ItemKey], tblRisposte[Valore], "")="Non eseguito","X",0)</f>
        <v>0</v>
      </c>
      <c r="V7" s="1">
        <f t="shared" si="5"/>
        <v>0</v>
      </c>
      <c r="W7">
        <f t="shared" si="6"/>
        <v>0</v>
      </c>
      <c r="X7" t="str">
        <f>IF(COUNTIF(I7:U7,"X")=1,"OK","errore")</f>
        <v>errore</v>
      </c>
      <c r="Y7" t="str">
        <f>IF(D7="SEP",IF(I7="x",H7,IF(L7="X",K7,IF(O7="x",N7,IF(R7="X",Q7,IF(U7="X",T7,""))))),"")</f>
        <v/>
      </c>
    </row>
    <row r="8" spans="1:31" ht="15" customHeight="1">
      <c r="A8" t="str">
        <f>IF(G8&lt;&gt;"",ScenaAttiva&amp;"_"&amp;AB$4&amp;TEXT(COUNTIF($G$3:G8,"&lt;&gt;"),"0000"),"")</f>
        <v>A_TCR0006</v>
      </c>
      <c r="B8">
        <f>IF(A8&lt;&gt;"",SquadraAttiva,"")</f>
        <v>3</v>
      </c>
      <c r="C8" t="str">
        <f t="shared" si="0"/>
        <v>3-A_TCR0006</v>
      </c>
      <c r="D8">
        <f>IFERROR(_xlfn.XLOOKUP(C8,tblRisposte[idValutazione],tblRisposte[Valore],""),"")</f>
        <v>4</v>
      </c>
      <c r="E8" t="s">
        <v>653</v>
      </c>
      <c r="F8" s="82" t="s">
        <v>126</v>
      </c>
      <c r="G8" t="s">
        <v>35</v>
      </c>
      <c r="H8" cm="1">
        <f t="array" ref="H8">_xlfn.LET(_xlpm.v,_xlfn.XLOOKUP(G8,tblValutazioni[TipoValutazione],tblValutazioni[MB],""),IF(_xlpm.v="","",_xlpm.v))</f>
        <v>5</v>
      </c>
      <c r="I8" s="18">
        <f>IF(_xlfn.XLOOKUP($A8, tblRisposte[ItemKey],tblRisposte[Valore],"")="Molto bene","X",0)</f>
        <v>0</v>
      </c>
      <c r="J8" s="1">
        <f t="shared" si="1"/>
        <v>0</v>
      </c>
      <c r="K8" cm="1">
        <f t="array" ref="K8">_xlfn.LET(_xlpm.v,_xlfn.XLOOKUP(G8,tblValutazioni[TipoValutazione],tblValutazioni[BE],""),IF(_xlpm.v="","",_xlpm.v))</f>
        <v>4</v>
      </c>
      <c r="L8" s="18">
        <f>IF(_xlfn.XLOOKUP($A8, tblRisposte[ItemKey], tblRisposte[Valore], "")="Bene","X",0)</f>
        <v>0</v>
      </c>
      <c r="M8" s="1">
        <f t="shared" si="2"/>
        <v>0</v>
      </c>
      <c r="N8" cm="1">
        <f t="array" ref="N8">_xlfn.LET(_xlpm.v,_xlfn.XLOOKUP(G8,tblValutazioni[TipoValutazione],tblValutazioni[SU],""),IF(_xlpm.v="","",_xlpm.v))</f>
        <v>2</v>
      </c>
      <c r="O8" s="18">
        <f>IF(_xlfn.XLOOKUP($A8, tblRisposte[ItemKey], tblRisposte[Valore], "")="Soddisfacente","X",0)</f>
        <v>0</v>
      </c>
      <c r="P8" s="1">
        <f t="shared" si="3"/>
        <v>0</v>
      </c>
      <c r="Q8" cm="1">
        <f t="array" ref="Q8">_xlfn.LET(_xlpm.v,_xlfn.XLOOKUP(G8,tblValutazioni[TipoValutazione],tblValutazioni[IN],""),IF(_xlpm.v="","",_xlpm.v))</f>
        <v>1</v>
      </c>
      <c r="R8" s="18">
        <f>IF(_xlfn.XLOOKUP($A8, tblRisposte[ItemKey], tblRisposte[Valore], "")="Insufficiente","X",0)</f>
        <v>0</v>
      </c>
      <c r="S8" s="1">
        <f t="shared" si="4"/>
        <v>0</v>
      </c>
      <c r="T8" cm="1">
        <f t="array" ref="T8">_xlfn.LET(_xlpm.v,_xlfn.XLOOKUP(G8,tblValutazioni[TipoValutazione],tblValutazioni[NE],""),IF(_xlpm.v="","",_xlpm.v))</f>
        <v>0</v>
      </c>
      <c r="U8" s="18">
        <f>IF(_xlfn.XLOOKUP($A8, tblRisposte[ItemKey], tblRisposte[Valore], "")="Non eseguito","X",0)</f>
        <v>0</v>
      </c>
      <c r="V8" s="1">
        <f t="shared" si="5"/>
        <v>0</v>
      </c>
      <c r="W8">
        <f t="shared" si="6"/>
        <v>0</v>
      </c>
      <c r="X8" t="str">
        <f>IF(COUNTIF(I8:U8,"X")=1,"OK","errore")</f>
        <v>errore</v>
      </c>
      <c r="Y8" t="str">
        <f>IF(D8="SEP",IF(I8="x",H8,IF(L8="X",K8,IF(O8="x",N8,IF(R8="X",Q8,IF(U8="X",T8,""))))),"")</f>
        <v/>
      </c>
      <c r="Z8" t="s">
        <v>747</v>
      </c>
    </row>
    <row r="9" spans="1:31" ht="15" customHeight="1">
      <c r="A9" t="str">
        <f>IF(G9&lt;&gt;"",ScenaAttiva&amp;"_"&amp;AB$4&amp;TEXT(COUNTIF($G$3:G9,"&lt;&gt;"),"0000"),"")</f>
        <v>A_TCR0007</v>
      </c>
      <c r="B9">
        <f>IF(A9&lt;&gt;"",SquadraAttiva,"")</f>
        <v>3</v>
      </c>
      <c r="C9" t="str">
        <f t="shared" si="0"/>
        <v>3-A_TCR0007</v>
      </c>
      <c r="D9">
        <f>IFERROR(_xlfn.XLOOKUP(C9,tblRisposte[idValutazione],tblRisposte[Valore],""),"")</f>
        <v>4</v>
      </c>
      <c r="E9" t="s">
        <v>653</v>
      </c>
      <c r="F9" s="82" t="s">
        <v>176</v>
      </c>
      <c r="G9" t="s">
        <v>35</v>
      </c>
      <c r="H9" cm="1">
        <f t="array" ref="H9">_xlfn.LET(_xlpm.v,_xlfn.XLOOKUP(G9,tblValutazioni[TipoValutazione],tblValutazioni[MB],""),IF(_xlpm.v="","",_xlpm.v))</f>
        <v>5</v>
      </c>
      <c r="I9" s="18">
        <f>IF(_xlfn.XLOOKUP($A9, tblRisposte[ItemKey],tblRisposte[Valore],"")="Molto bene","X",0)</f>
        <v>0</v>
      </c>
      <c r="J9" s="1">
        <f t="shared" si="1"/>
        <v>0</v>
      </c>
      <c r="K9" cm="1">
        <f t="array" ref="K9">_xlfn.LET(_xlpm.v,_xlfn.XLOOKUP(G9,tblValutazioni[TipoValutazione],tblValutazioni[BE],""),IF(_xlpm.v="","",_xlpm.v))</f>
        <v>4</v>
      </c>
      <c r="L9" s="18">
        <f>IF(_xlfn.XLOOKUP($A9, tblRisposte[ItemKey], tblRisposte[Valore], "")="Bene","X",0)</f>
        <v>0</v>
      </c>
      <c r="M9" s="1">
        <f t="shared" si="2"/>
        <v>0</v>
      </c>
      <c r="N9" cm="1">
        <f t="array" ref="N9">_xlfn.LET(_xlpm.v,_xlfn.XLOOKUP(G9,tblValutazioni[TipoValutazione],tblValutazioni[SU],""),IF(_xlpm.v="","",_xlpm.v))</f>
        <v>2</v>
      </c>
      <c r="O9" s="18">
        <f>IF(_xlfn.XLOOKUP($A9, tblRisposte[ItemKey], tblRisposte[Valore], "")="Soddisfacente","X",0)</f>
        <v>0</v>
      </c>
      <c r="P9" s="1">
        <f t="shared" si="3"/>
        <v>0</v>
      </c>
      <c r="Q9" cm="1">
        <f t="array" ref="Q9">_xlfn.LET(_xlpm.v,_xlfn.XLOOKUP(G9,tblValutazioni[TipoValutazione],tblValutazioni[IN],""),IF(_xlpm.v="","",_xlpm.v))</f>
        <v>1</v>
      </c>
      <c r="R9" s="18">
        <f>IF(_xlfn.XLOOKUP($A9, tblRisposte[ItemKey], tblRisposte[Valore], "")="Insufficiente","X",0)</f>
        <v>0</v>
      </c>
      <c r="S9" s="1">
        <f t="shared" si="4"/>
        <v>0</v>
      </c>
      <c r="T9" cm="1">
        <f t="array" ref="T9">_xlfn.LET(_xlpm.v,_xlfn.XLOOKUP(G9,tblValutazioni[TipoValutazione],tblValutazioni[NE],""),IF(_xlpm.v="","",_xlpm.v))</f>
        <v>0</v>
      </c>
      <c r="U9" s="18">
        <f>IF(_xlfn.XLOOKUP($A9, tblRisposte[ItemKey], tblRisposte[Valore], "")="Non eseguito","X",0)</f>
        <v>0</v>
      </c>
      <c r="V9" s="1">
        <f t="shared" si="5"/>
        <v>0</v>
      </c>
      <c r="W9">
        <f t="shared" si="6"/>
        <v>0</v>
      </c>
      <c r="X9" t="str">
        <f>IF(COUNTIF(I9:U9,"X")=1,"OK","errore")</f>
        <v>errore</v>
      </c>
      <c r="Y9" t="str">
        <f>IF(D9="SEP",IF(I9="x",H9,IF(L9="X",K9,IF(O9="x",N9,IF(R9="X",Q9,IF(U9="X",T9,""))))),"")</f>
        <v/>
      </c>
    </row>
    <row r="10" spans="1:31" ht="15" customHeight="1">
      <c r="A10" s="17" t="str">
        <f>IF(G10&lt;&gt;"",ScenaAttiva&amp;"_"&amp;AB$4&amp;TEXT(COUNTIF($G$3:G10,"&lt;&gt;"),"0000"),"")</f>
        <v>A_TCR0008</v>
      </c>
      <c r="B10" s="17">
        <f>IF(A10&lt;&gt;"",SquadraAttiva,"")</f>
        <v>3</v>
      </c>
      <c r="C10" s="17" t="str">
        <f t="shared" si="0"/>
        <v>3-A_TCR0008</v>
      </c>
      <c r="D10" s="17">
        <f>IFERROR(_xlfn.XLOOKUP(C10,tblRisposte[idValutazione],tblRisposte[Valore],""),"")</f>
        <v>1</v>
      </c>
      <c r="E10" t="s">
        <v>653</v>
      </c>
      <c r="F10" s="82" t="s">
        <v>178</v>
      </c>
      <c r="G10" t="s">
        <v>36</v>
      </c>
      <c r="H10" cm="1">
        <f t="array" ref="H10">_xlfn.LET(_xlpm.v,_xlfn.XLOOKUP(G10,tblValutazioni[TipoValutazione],tblValutazioni[MB],""),IF(_xlpm.v="","",_xlpm.v))</f>
        <v>3</v>
      </c>
      <c r="I10" s="18">
        <f>IF(_xlfn.XLOOKUP($A10, tblRisposte[ItemKey],tblRisposte[Valore],"")="Molto bene","X",0)</f>
        <v>0</v>
      </c>
      <c r="J10" s="1">
        <f t="shared" si="1"/>
        <v>0</v>
      </c>
      <c r="K10" t="str" cm="1">
        <f t="array" ref="K10">_xlfn.LET(_xlpm.v,_xlfn.XLOOKUP(G10,tblValutazioni[TipoValutazione],tblValutazioni[BE],""),IF(_xlpm.v="","",_xlpm.v))</f>
        <v/>
      </c>
      <c r="L10" s="18">
        <f>IF(_xlfn.XLOOKUP($A10, tblRisposte[ItemKey], tblRisposte[Valore], "")="Bene","X",0)</f>
        <v>0</v>
      </c>
      <c r="M10" s="1">
        <f t="shared" si="2"/>
        <v>0</v>
      </c>
      <c r="N10" cm="1">
        <f t="array" ref="N10">_xlfn.LET(_xlpm.v,_xlfn.XLOOKUP(G10,tblValutazioni[TipoValutazione],tblValutazioni[SU],""),IF(_xlpm.v="","",_xlpm.v))</f>
        <v>1</v>
      </c>
      <c r="O10" s="18">
        <f>IF(_xlfn.XLOOKUP($A10, tblRisposte[ItemKey], tblRisposte[Valore], "")="Soddisfacente","X",0)</f>
        <v>0</v>
      </c>
      <c r="P10" s="1">
        <f t="shared" si="3"/>
        <v>0</v>
      </c>
      <c r="Q10" t="str" cm="1">
        <f t="array" ref="Q10">_xlfn.LET(_xlpm.v,_xlfn.XLOOKUP(G10,tblValutazioni[TipoValutazione],tblValutazioni[IN],""),IF(_xlpm.v="","",_xlpm.v))</f>
        <v/>
      </c>
      <c r="R10" s="18">
        <f>IF(_xlfn.XLOOKUP($A10, tblRisposte[ItemKey], tblRisposte[Valore], "")="Insufficiente","X",0)</f>
        <v>0</v>
      </c>
      <c r="S10" s="1">
        <f t="shared" si="4"/>
        <v>0</v>
      </c>
      <c r="T10" cm="1">
        <f t="array" ref="T10">_xlfn.LET(_xlpm.v,_xlfn.XLOOKUP(G10,tblValutazioni[TipoValutazione],tblValutazioni[NE],""),IF(_xlpm.v="","",_xlpm.v))</f>
        <v>0</v>
      </c>
      <c r="U10" s="18">
        <f>IF(_xlfn.XLOOKUP($A10, tblRisposte[ItemKey], tblRisposte[Valore], "")="Non eseguito","X",0)</f>
        <v>0</v>
      </c>
      <c r="V10" s="1">
        <f t="shared" si="5"/>
        <v>0</v>
      </c>
      <c r="W10">
        <f t="shared" si="6"/>
        <v>0</v>
      </c>
      <c r="X10" t="str">
        <f>IF(COUNTIF(I10:U10,"X")=1,"OK","errore")</f>
        <v>errore</v>
      </c>
      <c r="Y10" t="str">
        <f>IF(D10="SEP",IF(I10="x",H10,IF(L10="X",K10,IF(O10="x",N10,IF(R10="X",Q10,IF(U10="X",T10,""))))),"")</f>
        <v/>
      </c>
    </row>
    <row r="11" spans="1:31" ht="15" customHeight="1">
      <c r="A11" t="str">
        <f>IF(G11&lt;&gt;"",ScenaAttiva&amp;"_"&amp;AB$4&amp;TEXT(COUNTIF($G$3:G11,"&lt;&gt;"),"0000"),"")</f>
        <v/>
      </c>
      <c r="B11" t="str">
        <f>IF(A11&lt;&gt;"",SquadraAttiva,"")</f>
        <v/>
      </c>
      <c r="C11" t="str">
        <f t="shared" si="0"/>
        <v/>
      </c>
      <c r="D11" t="str">
        <f>IFERROR(_xlfn.XLOOKUP(C11,tblRisposte[idValutazione],tblRisposte[Valore],""),"")</f>
        <v/>
      </c>
      <c r="F11" s="83" t="s">
        <v>128</v>
      </c>
      <c r="G11" s="17"/>
      <c r="H11" t="str" cm="1">
        <f t="array" ref="H11">_xlfn.LET(_xlpm.v,_xlfn.XLOOKUP(G11,tblValutazioni[TipoValutazione],tblValutazioni[MB],""),IF(_xlpm.v="","",_xlpm.v))</f>
        <v/>
      </c>
      <c r="I11" s="18">
        <f>IF(_xlfn.XLOOKUP($A11, tblRisposte[ItemKey],tblRisposte[Valore],"")="Molto bene","X",0)</f>
        <v>0</v>
      </c>
      <c r="J11" s="1">
        <f t="shared" si="1"/>
        <v>0</v>
      </c>
      <c r="K11" t="str" cm="1">
        <f t="array" ref="K11">_xlfn.LET(_xlpm.v,_xlfn.XLOOKUP(G11,tblValutazioni[TipoValutazione],tblValutazioni[BE],""),IF(_xlpm.v="","",_xlpm.v))</f>
        <v/>
      </c>
      <c r="L11" s="18">
        <f>IF(_xlfn.XLOOKUP($A11, tblRisposte[ItemKey], tblRisposte[Valore], "")="Bene","X",0)</f>
        <v>0</v>
      </c>
      <c r="M11" s="1">
        <f t="shared" si="2"/>
        <v>0</v>
      </c>
      <c r="N11" t="str" cm="1">
        <f t="array" ref="N11">_xlfn.LET(_xlpm.v,_xlfn.XLOOKUP(G11,tblValutazioni[TipoValutazione],tblValutazioni[SU],""),IF(_xlpm.v="","",_xlpm.v))</f>
        <v/>
      </c>
      <c r="O11" s="18">
        <f>IF(_xlfn.XLOOKUP($A11, tblRisposte[ItemKey], tblRisposte[Valore], "")="Soddisfacente","X",0)</f>
        <v>0</v>
      </c>
      <c r="P11" s="1">
        <f t="shared" si="3"/>
        <v>0</v>
      </c>
      <c r="Q11" t="str" cm="1">
        <f t="array" ref="Q11">_xlfn.LET(_xlpm.v,_xlfn.XLOOKUP(G11,tblValutazioni[TipoValutazione],tblValutazioni[IN],""),IF(_xlpm.v="","",_xlpm.v))</f>
        <v/>
      </c>
      <c r="R11" s="18">
        <f>IF(_xlfn.XLOOKUP($A11, tblRisposte[ItemKey], tblRisposte[Valore], "")="Insufficiente","X",0)</f>
        <v>0</v>
      </c>
      <c r="S11" s="1">
        <f t="shared" si="4"/>
        <v>0</v>
      </c>
      <c r="T11" t="str" cm="1">
        <f t="array" ref="T11">_xlfn.LET(_xlpm.v,_xlfn.XLOOKUP(G11,tblValutazioni[TipoValutazione],tblValutazioni[NE],""),IF(_xlpm.v="","",_xlpm.v))</f>
        <v/>
      </c>
      <c r="U11" s="18">
        <f>IF(_xlfn.XLOOKUP($A11, tblRisposte[ItemKey], tblRisposte[Valore], "")="Non eseguito","X",0)</f>
        <v>0</v>
      </c>
      <c r="V11" s="1">
        <f t="shared" si="5"/>
        <v>0</v>
      </c>
      <c r="W11">
        <f t="shared" si="6"/>
        <v>0</v>
      </c>
      <c r="X11" t="str">
        <f>IF(COUNTIF(I11:U11,"X")=1,"OK","errore")</f>
        <v>errore</v>
      </c>
      <c r="Y11" t="str">
        <f>IF(D11="SEP",IF(I11="x",H11,IF(L11="X",K11,IF(O11="x",N11,IF(R11="X",Q11,IF(U11="X",T11,""))))),"")</f>
        <v/>
      </c>
      <c r="Z11" t="s">
        <v>718</v>
      </c>
      <c r="AA11">
        <f>SUM(H2:H37)</f>
        <v>106</v>
      </c>
    </row>
    <row r="12" spans="1:31" ht="15" customHeight="1">
      <c r="A12" t="str">
        <f>IF(G12&lt;&gt;"",ScenaAttiva&amp;"_"&amp;AB$4&amp;TEXT(COUNTIF($G$3:G12,"&lt;&gt;"),"0000"),"")</f>
        <v>A_TCR0009</v>
      </c>
      <c r="B12">
        <f>IF(A12&lt;&gt;"",SquadraAttiva,"")</f>
        <v>3</v>
      </c>
      <c r="C12" t="str">
        <f t="shared" si="0"/>
        <v>3-A_TCR0009</v>
      </c>
      <c r="D12">
        <f>IFERROR(_xlfn.XLOOKUP(C12,tblRisposte[idValutazione],tblRisposte[Valore],""),"")</f>
        <v>2</v>
      </c>
      <c r="F12" s="78" t="s">
        <v>219</v>
      </c>
      <c r="G12" t="s">
        <v>35</v>
      </c>
      <c r="H12" cm="1">
        <f t="array" ref="H12">_xlfn.LET(_xlpm.v,_xlfn.XLOOKUP(G12,tblValutazioni[TipoValutazione],tblValutazioni[MB],""),IF(_xlpm.v="","",_xlpm.v))</f>
        <v>5</v>
      </c>
      <c r="I12" s="18">
        <f>IF(_xlfn.XLOOKUP($A12, tblRisposte[ItemKey],tblRisposte[Valore],"")="Molto bene","X",0)</f>
        <v>0</v>
      </c>
      <c r="J12" s="1">
        <f t="shared" si="1"/>
        <v>0</v>
      </c>
      <c r="K12" cm="1">
        <f t="array" ref="K12">_xlfn.LET(_xlpm.v,_xlfn.XLOOKUP(G12,tblValutazioni[TipoValutazione],tblValutazioni[BE],""),IF(_xlpm.v="","",_xlpm.v))</f>
        <v>4</v>
      </c>
      <c r="L12" s="18">
        <f>IF(_xlfn.XLOOKUP($A12, tblRisposte[ItemKey], tblRisposte[Valore], "")="Bene","X",0)</f>
        <v>0</v>
      </c>
      <c r="M12" s="1">
        <f t="shared" si="2"/>
        <v>0</v>
      </c>
      <c r="N12" cm="1">
        <f t="array" ref="N12">_xlfn.LET(_xlpm.v,_xlfn.XLOOKUP(G12,tblValutazioni[TipoValutazione],tblValutazioni[SU],""),IF(_xlpm.v="","",_xlpm.v))</f>
        <v>2</v>
      </c>
      <c r="O12" s="18">
        <f>IF(_xlfn.XLOOKUP($A12, tblRisposte[ItemKey], tblRisposte[Valore], "")="Soddisfacente","X",0)</f>
        <v>0</v>
      </c>
      <c r="P12" s="1">
        <f t="shared" si="3"/>
        <v>0</v>
      </c>
      <c r="Q12" cm="1">
        <f t="array" ref="Q12">_xlfn.LET(_xlpm.v,_xlfn.XLOOKUP(G12,tblValutazioni[TipoValutazione],tblValutazioni[IN],""),IF(_xlpm.v="","",_xlpm.v))</f>
        <v>1</v>
      </c>
      <c r="R12" s="18">
        <f>IF(_xlfn.XLOOKUP($A12, tblRisposte[ItemKey], tblRisposte[Valore], "")="Insufficiente","X",0)</f>
        <v>0</v>
      </c>
      <c r="S12" s="1">
        <f t="shared" si="4"/>
        <v>0</v>
      </c>
      <c r="T12" cm="1">
        <f t="array" ref="T12">_xlfn.LET(_xlpm.v,_xlfn.XLOOKUP(G12,tblValutazioni[TipoValutazione],tblValutazioni[NE],""),IF(_xlpm.v="","",_xlpm.v))</f>
        <v>0</v>
      </c>
      <c r="U12" s="18">
        <f>IF(_xlfn.XLOOKUP($A12, tblRisposte[ItemKey], tblRisposte[Valore], "")="Non eseguito","X",0)</f>
        <v>0</v>
      </c>
      <c r="V12" s="1">
        <f t="shared" si="5"/>
        <v>0</v>
      </c>
      <c r="W12">
        <f t="shared" si="6"/>
        <v>0</v>
      </c>
      <c r="X12" t="str">
        <f>IF(COUNTIF(I12:U12,"X")=1,"OK","errore")</f>
        <v>errore</v>
      </c>
      <c r="Y12" t="str">
        <f>IF(D12="SEP",IF(I12="x",H12,IF(L12="X",K12,IF(O12="x",N12,IF(R12="X",Q12,IF(U12="X",T12,""))))),"")</f>
        <v/>
      </c>
      <c r="Z12" t="s">
        <v>719</v>
      </c>
      <c r="AA12" s="13">
        <f>J42/AA11</f>
        <v>0</v>
      </c>
    </row>
    <row r="13" spans="1:31" ht="15" customHeight="1">
      <c r="A13" t="str">
        <f>IF(G13&lt;&gt;"",ScenaAttiva&amp;"_"&amp;AB$4&amp;TEXT(COUNTIF($G$3:G13,"&lt;&gt;"),"0000"),"")</f>
        <v>A_TCR0010</v>
      </c>
      <c r="B13">
        <f>IF(A13&lt;&gt;"",SquadraAttiva,"")</f>
        <v>3</v>
      </c>
      <c r="C13" t="str">
        <f t="shared" si="0"/>
        <v>3-A_TCR0010</v>
      </c>
      <c r="D13">
        <f>IFERROR(_xlfn.XLOOKUP(C13,tblRisposte[idValutazione],tblRisposte[Valore],""),"")</f>
        <v>0</v>
      </c>
      <c r="F13" s="78" t="s">
        <v>221</v>
      </c>
      <c r="G13" t="s">
        <v>36</v>
      </c>
      <c r="H13" cm="1">
        <f t="array" ref="H13">_xlfn.LET(_xlpm.v,_xlfn.XLOOKUP(G13,tblValutazioni[TipoValutazione],tblValutazioni[MB],""),IF(_xlpm.v="","",_xlpm.v))</f>
        <v>3</v>
      </c>
      <c r="I13" s="18">
        <f>IF(_xlfn.XLOOKUP($A13, tblRisposte[ItemKey],tblRisposte[Valore],"")="Molto bene","X",0)</f>
        <v>0</v>
      </c>
      <c r="J13" s="1">
        <f t="shared" si="1"/>
        <v>0</v>
      </c>
      <c r="K13" t="str" cm="1">
        <f t="array" ref="K13">_xlfn.LET(_xlpm.v,_xlfn.XLOOKUP(G13,tblValutazioni[TipoValutazione],tblValutazioni[BE],""),IF(_xlpm.v="","",_xlpm.v))</f>
        <v/>
      </c>
      <c r="L13" s="18">
        <f>IF(_xlfn.XLOOKUP($A13, tblRisposte[ItemKey], tblRisposte[Valore], "")="Bene","X",0)</f>
        <v>0</v>
      </c>
      <c r="M13" s="1">
        <f t="shared" si="2"/>
        <v>0</v>
      </c>
      <c r="N13" cm="1">
        <f t="array" ref="N13">_xlfn.LET(_xlpm.v,_xlfn.XLOOKUP(G13,tblValutazioni[TipoValutazione],tblValutazioni[SU],""),IF(_xlpm.v="","",_xlpm.v))</f>
        <v>1</v>
      </c>
      <c r="O13" s="18">
        <f>IF(_xlfn.XLOOKUP($A13, tblRisposte[ItemKey], tblRisposte[Valore], "")="Soddisfacente","X",0)</f>
        <v>0</v>
      </c>
      <c r="P13" s="1">
        <f t="shared" si="3"/>
        <v>0</v>
      </c>
      <c r="Q13" t="str" cm="1">
        <f t="array" ref="Q13">_xlfn.LET(_xlpm.v,_xlfn.XLOOKUP(G13,tblValutazioni[TipoValutazione],tblValutazioni[IN],""),IF(_xlpm.v="","",_xlpm.v))</f>
        <v/>
      </c>
      <c r="R13" s="18">
        <f>IF(_xlfn.XLOOKUP($A13, tblRisposte[ItemKey], tblRisposte[Valore], "")="Insufficiente","X",0)</f>
        <v>0</v>
      </c>
      <c r="S13" s="1">
        <f t="shared" si="4"/>
        <v>0</v>
      </c>
      <c r="T13" cm="1">
        <f t="array" ref="T13">_xlfn.LET(_xlpm.v,_xlfn.XLOOKUP(G13,tblValutazioni[TipoValutazione],tblValutazioni[NE],""),IF(_xlpm.v="","",_xlpm.v))</f>
        <v>0</v>
      </c>
      <c r="U13" s="18">
        <f>IF(_xlfn.XLOOKUP($A13, tblRisposte[ItemKey], tblRisposte[Valore], "")="Non eseguito","X",0)</f>
        <v>0</v>
      </c>
      <c r="V13" s="1">
        <f t="shared" si="5"/>
        <v>0</v>
      </c>
      <c r="W13">
        <f t="shared" si="6"/>
        <v>0</v>
      </c>
      <c r="X13" t="str">
        <f>IF(COUNTIF(I13:U13,"X")=1,"OK","errore")</f>
        <v>errore</v>
      </c>
      <c r="Y13" t="str">
        <f>IF(D13="SEP",IF(I13="x",H13,IF(L13="X",K13,IF(O13="x",N13,IF(R13="X",Q13,IF(U13="X",T13,""))))),"")</f>
        <v/>
      </c>
    </row>
    <row r="14" spans="1:31" ht="15" customHeight="1">
      <c r="A14" t="str">
        <f>IF(G14&lt;&gt;"",ScenaAttiva&amp;"_"&amp;AB$4&amp;TEXT(COUNTIF($G$3:G14,"&lt;&gt;"),"0000"),"")</f>
        <v>A_TCR0011</v>
      </c>
      <c r="B14">
        <f>IF(A14&lt;&gt;"",SquadraAttiva,"")</f>
        <v>3</v>
      </c>
      <c r="C14" t="str">
        <f t="shared" si="0"/>
        <v>3-A_TCR0011</v>
      </c>
      <c r="D14">
        <f>IFERROR(_xlfn.XLOOKUP(C14,tblRisposte[idValutazione],tblRisposte[Valore],""),"")</f>
        <v>1</v>
      </c>
      <c r="F14" s="78" t="s">
        <v>223</v>
      </c>
      <c r="G14" t="s">
        <v>36</v>
      </c>
      <c r="H14" cm="1">
        <f t="array" ref="H14">_xlfn.LET(_xlpm.v,_xlfn.XLOOKUP(G14,tblValutazioni[TipoValutazione],tblValutazioni[MB],""),IF(_xlpm.v="","",_xlpm.v))</f>
        <v>3</v>
      </c>
      <c r="I14" s="18">
        <f>IF(_xlfn.XLOOKUP($A14, tblRisposte[ItemKey],tblRisposte[Valore],"")="Molto bene","X",0)</f>
        <v>0</v>
      </c>
      <c r="J14" s="1">
        <f t="shared" si="1"/>
        <v>0</v>
      </c>
      <c r="K14" t="str" cm="1">
        <f t="array" ref="K14">_xlfn.LET(_xlpm.v,_xlfn.XLOOKUP(G14,tblValutazioni[TipoValutazione],tblValutazioni[BE],""),IF(_xlpm.v="","",_xlpm.v))</f>
        <v/>
      </c>
      <c r="L14" s="18">
        <f>IF(_xlfn.XLOOKUP($A14, tblRisposte[ItemKey], tblRisposte[Valore], "")="Bene","X",0)</f>
        <v>0</v>
      </c>
      <c r="M14" s="1">
        <f t="shared" si="2"/>
        <v>0</v>
      </c>
      <c r="N14" cm="1">
        <f t="array" ref="N14">_xlfn.LET(_xlpm.v,_xlfn.XLOOKUP(G14,tblValutazioni[TipoValutazione],tblValutazioni[SU],""),IF(_xlpm.v="","",_xlpm.v))</f>
        <v>1</v>
      </c>
      <c r="O14" s="18">
        <f>IF(_xlfn.XLOOKUP($A14, tblRisposte[ItemKey], tblRisposte[Valore], "")="Soddisfacente","X",0)</f>
        <v>0</v>
      </c>
      <c r="P14" s="1">
        <f t="shared" si="3"/>
        <v>0</v>
      </c>
      <c r="Q14" t="str" cm="1">
        <f t="array" ref="Q14">_xlfn.LET(_xlpm.v,_xlfn.XLOOKUP(G14,tblValutazioni[TipoValutazione],tblValutazioni[IN],""),IF(_xlpm.v="","",_xlpm.v))</f>
        <v/>
      </c>
      <c r="R14" s="18">
        <f>IF(_xlfn.XLOOKUP($A14, tblRisposte[ItemKey], tblRisposte[Valore], "")="Insufficiente","X",0)</f>
        <v>0</v>
      </c>
      <c r="S14" s="1">
        <f t="shared" si="4"/>
        <v>0</v>
      </c>
      <c r="T14" cm="1">
        <f t="array" ref="T14">_xlfn.LET(_xlpm.v,_xlfn.XLOOKUP(G14,tblValutazioni[TipoValutazione],tblValutazioni[NE],""),IF(_xlpm.v="","",_xlpm.v))</f>
        <v>0</v>
      </c>
      <c r="U14" s="18">
        <f>IF(_xlfn.XLOOKUP($A14, tblRisposte[ItemKey], tblRisposte[Valore], "")="Non eseguito","X",0)</f>
        <v>0</v>
      </c>
      <c r="V14" s="1">
        <f t="shared" si="5"/>
        <v>0</v>
      </c>
      <c r="W14">
        <f t="shared" si="6"/>
        <v>0</v>
      </c>
      <c r="X14" t="str">
        <f>IF(COUNTIF(I14:U14,"X")=1,"OK","errore")</f>
        <v>errore</v>
      </c>
      <c r="Y14" t="str">
        <f>IF(D14="SEP",IF(I14="x",H14,IF(L14="X",K14,IF(O14="x",N14,IF(R14="X",Q14,IF(U14="X",T14,""))))),"")</f>
        <v/>
      </c>
      <c r="Z14" t="s">
        <v>720</v>
      </c>
      <c r="AA14">
        <f>SUMIF(D2:D40,"SEP",H2:H40)</f>
        <v>0</v>
      </c>
    </row>
    <row r="15" spans="1:31" ht="15" customHeight="1">
      <c r="A15" t="str">
        <f>IF(G15&lt;&gt;"",ScenaAttiva&amp;"_"&amp;AB$4&amp;TEXT(COUNTIF($G$3:G15,"&lt;&gt;"),"0000"),"")</f>
        <v>A_TCR0012</v>
      </c>
      <c r="B15">
        <f>IF(A15&lt;&gt;"",SquadraAttiva,"")</f>
        <v>3</v>
      </c>
      <c r="C15" t="str">
        <f t="shared" si="0"/>
        <v>3-A_TCR0012</v>
      </c>
      <c r="D15">
        <f>IFERROR(_xlfn.XLOOKUP(C15,tblRisposte[idValutazione],tblRisposte[Valore],""),"")</f>
        <v>0</v>
      </c>
      <c r="F15" s="78" t="s">
        <v>225</v>
      </c>
      <c r="G15" t="s">
        <v>36</v>
      </c>
      <c r="H15" cm="1">
        <f t="array" ref="H15">_xlfn.LET(_xlpm.v,_xlfn.XLOOKUP(G15,tblValutazioni[TipoValutazione],tblValutazioni[MB],""),IF(_xlpm.v="","",_xlpm.v))</f>
        <v>3</v>
      </c>
      <c r="I15" s="18">
        <f>IF(_xlfn.XLOOKUP($A15, tblRisposte[ItemKey],tblRisposte[Valore],"")="Molto bene","X",0)</f>
        <v>0</v>
      </c>
      <c r="J15" s="1">
        <f t="shared" si="1"/>
        <v>0</v>
      </c>
      <c r="K15" t="str" cm="1">
        <f t="array" ref="K15">_xlfn.LET(_xlpm.v,_xlfn.XLOOKUP(G15,tblValutazioni[TipoValutazione],tblValutazioni[BE],""),IF(_xlpm.v="","",_xlpm.v))</f>
        <v/>
      </c>
      <c r="L15" s="18">
        <f>IF(_xlfn.XLOOKUP($A15, tblRisposte[ItemKey], tblRisposte[Valore], "")="Bene","X",0)</f>
        <v>0</v>
      </c>
      <c r="M15" s="1">
        <f t="shared" si="2"/>
        <v>0</v>
      </c>
      <c r="N15" cm="1">
        <f t="array" ref="N15">_xlfn.LET(_xlpm.v,_xlfn.XLOOKUP(G15,tblValutazioni[TipoValutazione],tblValutazioni[SU],""),IF(_xlpm.v="","",_xlpm.v))</f>
        <v>1</v>
      </c>
      <c r="O15" s="18">
        <f>IF(_xlfn.XLOOKUP($A15, tblRisposte[ItemKey], tblRisposte[Valore], "")="Soddisfacente","X",0)</f>
        <v>0</v>
      </c>
      <c r="P15" s="1">
        <f t="shared" si="3"/>
        <v>0</v>
      </c>
      <c r="Q15" t="str" cm="1">
        <f t="array" ref="Q15">_xlfn.LET(_xlpm.v,_xlfn.XLOOKUP(G15,tblValutazioni[TipoValutazione],tblValutazioni[IN],""),IF(_xlpm.v="","",_xlpm.v))</f>
        <v/>
      </c>
      <c r="R15" s="18">
        <f>IF(_xlfn.XLOOKUP($A15, tblRisposte[ItemKey], tblRisposte[Valore], "")="Insufficiente","X",0)</f>
        <v>0</v>
      </c>
      <c r="S15" s="1">
        <f t="shared" si="4"/>
        <v>0</v>
      </c>
      <c r="T15" cm="1">
        <f t="array" ref="T15">_xlfn.LET(_xlpm.v,_xlfn.XLOOKUP(G15,tblValutazioni[TipoValutazione],tblValutazioni[NE],""),IF(_xlpm.v="","",_xlpm.v))</f>
        <v>0</v>
      </c>
      <c r="U15" s="18">
        <f>IF(_xlfn.XLOOKUP($A15, tblRisposte[ItemKey], tblRisposte[Valore], "")="Non eseguito","X",0)</f>
        <v>0</v>
      </c>
      <c r="V15" s="1">
        <f t="shared" si="5"/>
        <v>0</v>
      </c>
      <c r="W15">
        <f t="shared" si="6"/>
        <v>0</v>
      </c>
      <c r="X15" t="str">
        <f>IF(COUNTIF(I15:U15,"X")=1,"OK","errore")</f>
        <v>errore</v>
      </c>
      <c r="Y15" t="str">
        <f>IF(D15="SEP",IF(I15="x",H15,IF(L15="X",K15,IF(O15="x",N15,IF(R15="X",Q15,IF(U15="X",T15,""))))),"")</f>
        <v/>
      </c>
    </row>
    <row r="16" spans="1:31" ht="15" customHeight="1">
      <c r="A16" t="str">
        <f>IF(G16&lt;&gt;"",ScenaAttiva&amp;"_"&amp;AB$4&amp;TEXT(COUNTIF($G$3:G16,"&lt;&gt;"),"0000"),"")</f>
        <v>A_TCR0013</v>
      </c>
      <c r="B16">
        <f>IF(A16&lt;&gt;"",SquadraAttiva,"")</f>
        <v>3</v>
      </c>
      <c r="C16" t="str">
        <f t="shared" si="0"/>
        <v>3-A_TCR0013</v>
      </c>
      <c r="D16">
        <f>IFERROR(_xlfn.XLOOKUP(C16,tblRisposte[idValutazione],tblRisposte[Valore],""),"")</f>
        <v>4</v>
      </c>
      <c r="F16" s="78" t="s">
        <v>227</v>
      </c>
      <c r="G16" t="s">
        <v>35</v>
      </c>
      <c r="H16" cm="1">
        <f t="array" ref="H16">_xlfn.LET(_xlpm.v,_xlfn.XLOOKUP(G16,tblValutazioni[TipoValutazione],tblValutazioni[MB],""),IF(_xlpm.v="","",_xlpm.v))</f>
        <v>5</v>
      </c>
      <c r="I16" s="18">
        <f>IF(_xlfn.XLOOKUP($A16, tblRisposte[ItemKey],tblRisposte[Valore],"")="Molto bene","X",0)</f>
        <v>0</v>
      </c>
      <c r="J16" s="1">
        <f t="shared" si="1"/>
        <v>0</v>
      </c>
      <c r="K16" cm="1">
        <f t="array" ref="K16">_xlfn.LET(_xlpm.v,_xlfn.XLOOKUP(G16,tblValutazioni[TipoValutazione],tblValutazioni[BE],""),IF(_xlpm.v="","",_xlpm.v))</f>
        <v>4</v>
      </c>
      <c r="L16" s="18">
        <f>IF(_xlfn.XLOOKUP($A16, tblRisposte[ItemKey], tblRisposte[Valore], "")="Bene","X",0)</f>
        <v>0</v>
      </c>
      <c r="M16" s="1">
        <f t="shared" si="2"/>
        <v>0</v>
      </c>
      <c r="N16" cm="1">
        <f t="array" ref="N16">_xlfn.LET(_xlpm.v,_xlfn.XLOOKUP(G16,tblValutazioni[TipoValutazione],tblValutazioni[SU],""),IF(_xlpm.v="","",_xlpm.v))</f>
        <v>2</v>
      </c>
      <c r="O16" s="18">
        <f>IF(_xlfn.XLOOKUP($A16, tblRisposte[ItemKey], tblRisposte[Valore], "")="Soddisfacente","X",0)</f>
        <v>0</v>
      </c>
      <c r="P16" s="1">
        <f t="shared" si="3"/>
        <v>0</v>
      </c>
      <c r="Q16" cm="1">
        <f t="array" ref="Q16">_xlfn.LET(_xlpm.v,_xlfn.XLOOKUP(G16,tblValutazioni[TipoValutazione],tblValutazioni[IN],""),IF(_xlpm.v="","",_xlpm.v))</f>
        <v>1</v>
      </c>
      <c r="R16" s="18">
        <f>IF(_xlfn.XLOOKUP($A16, tblRisposte[ItemKey], tblRisposte[Valore], "")="Insufficiente","X",0)</f>
        <v>0</v>
      </c>
      <c r="S16" s="1">
        <f t="shared" si="4"/>
        <v>0</v>
      </c>
      <c r="T16" cm="1">
        <f t="array" ref="T16">_xlfn.LET(_xlpm.v,_xlfn.XLOOKUP(G16,tblValutazioni[TipoValutazione],tblValutazioni[NE],""),IF(_xlpm.v="","",_xlpm.v))</f>
        <v>0</v>
      </c>
      <c r="U16" s="18">
        <f>IF(_xlfn.XLOOKUP($A16, tblRisposte[ItemKey], tblRisposte[Valore], "")="Non eseguito","X",0)</f>
        <v>0</v>
      </c>
      <c r="V16" s="1">
        <f t="shared" si="5"/>
        <v>0</v>
      </c>
      <c r="W16">
        <f t="shared" si="6"/>
        <v>0</v>
      </c>
      <c r="X16" t="str">
        <f>IF(COUNTIF(I16:U16,"X")=1,"OK","errore")</f>
        <v>errore</v>
      </c>
      <c r="Y16" t="str">
        <f>IF(D16="SEP",IF(I16="x",H16,IF(L16="X",K16,IF(O16="x",N16,IF(R16="X",Q16,IF(U16="X",T16,""))))),"")</f>
        <v/>
      </c>
    </row>
    <row r="17" spans="1:25" ht="15" customHeight="1">
      <c r="A17" t="str">
        <f>IF(G17&lt;&gt;"",ScenaAttiva&amp;"_"&amp;AB$4&amp;TEXT(COUNTIF($G$3:G17,"&lt;&gt;"),"0000"),"")</f>
        <v>A_TCR0014</v>
      </c>
      <c r="B17">
        <f>IF(A17&lt;&gt;"",SquadraAttiva,"")</f>
        <v>3</v>
      </c>
      <c r="C17" t="str">
        <f t="shared" si="0"/>
        <v>3-A_TCR0014</v>
      </c>
      <c r="D17">
        <f>IFERROR(_xlfn.XLOOKUP(C17,tblRisposte[idValutazione],tblRisposte[Valore],""),"")</f>
        <v>4</v>
      </c>
      <c r="F17" s="78" t="s">
        <v>229</v>
      </c>
      <c r="G17" t="s">
        <v>35</v>
      </c>
      <c r="H17" cm="1">
        <f t="array" ref="H17">_xlfn.LET(_xlpm.v,_xlfn.XLOOKUP(G17,tblValutazioni[TipoValutazione],tblValutazioni[MB],""),IF(_xlpm.v="","",_xlpm.v))</f>
        <v>5</v>
      </c>
      <c r="I17" s="18">
        <f>IF(_xlfn.XLOOKUP($A17, tblRisposte[ItemKey],tblRisposte[Valore],"")="Molto bene","X",0)</f>
        <v>0</v>
      </c>
      <c r="J17" s="1">
        <f t="shared" si="1"/>
        <v>0</v>
      </c>
      <c r="K17" cm="1">
        <f t="array" ref="K17">_xlfn.LET(_xlpm.v,_xlfn.XLOOKUP(G17,tblValutazioni[TipoValutazione],tblValutazioni[BE],""),IF(_xlpm.v="","",_xlpm.v))</f>
        <v>4</v>
      </c>
      <c r="L17" s="18">
        <f>IF(_xlfn.XLOOKUP($A17, tblRisposte[ItemKey], tblRisposte[Valore], "")="Bene","X",0)</f>
        <v>0</v>
      </c>
      <c r="M17" s="1">
        <f t="shared" si="2"/>
        <v>0</v>
      </c>
      <c r="N17" cm="1">
        <f t="array" ref="N17">_xlfn.LET(_xlpm.v,_xlfn.XLOOKUP(G17,tblValutazioni[TipoValutazione],tblValutazioni[SU],""),IF(_xlpm.v="","",_xlpm.v))</f>
        <v>2</v>
      </c>
      <c r="O17" s="18">
        <f>IF(_xlfn.XLOOKUP($A17, tblRisposte[ItemKey], tblRisposte[Valore], "")="Soddisfacente","X",0)</f>
        <v>0</v>
      </c>
      <c r="P17" s="1">
        <f t="shared" si="3"/>
        <v>0</v>
      </c>
      <c r="Q17" cm="1">
        <f t="array" ref="Q17">_xlfn.LET(_xlpm.v,_xlfn.XLOOKUP(G17,tblValutazioni[TipoValutazione],tblValutazioni[IN],""),IF(_xlpm.v="","",_xlpm.v))</f>
        <v>1</v>
      </c>
      <c r="R17" s="18">
        <f>IF(_xlfn.XLOOKUP($A17, tblRisposte[ItemKey], tblRisposte[Valore], "")="Insufficiente","X",0)</f>
        <v>0</v>
      </c>
      <c r="S17" s="1">
        <f t="shared" si="4"/>
        <v>0</v>
      </c>
      <c r="T17" cm="1">
        <f t="array" ref="T17">_xlfn.LET(_xlpm.v,_xlfn.XLOOKUP(G17,tblValutazioni[TipoValutazione],tblValutazioni[NE],""),IF(_xlpm.v="","",_xlpm.v))</f>
        <v>0</v>
      </c>
      <c r="U17" s="18">
        <f>IF(_xlfn.XLOOKUP($A17, tblRisposte[ItemKey], tblRisposte[Valore], "")="Non eseguito","X",0)</f>
        <v>0</v>
      </c>
      <c r="V17" s="1">
        <f t="shared" si="5"/>
        <v>0</v>
      </c>
      <c r="W17">
        <f t="shared" si="6"/>
        <v>0</v>
      </c>
      <c r="X17" t="str">
        <f>IF(COUNTIF(I17:U17,"X")=1,"OK","errore")</f>
        <v>errore</v>
      </c>
      <c r="Y17" t="str">
        <f>IF(D17="SEP",IF(I17="x",H17,IF(L17="X",K17,IF(O17="x",N17,IF(R17="X",Q17,IF(U17="X",T17,""))))),"")</f>
        <v/>
      </c>
    </row>
    <row r="18" spans="1:25" ht="15" customHeight="1">
      <c r="A18" t="str">
        <f>IF(G18&lt;&gt;"",ScenaAttiva&amp;"_"&amp;AB$4&amp;TEXT(COUNTIF($G$3:G18,"&lt;&gt;"),"0000"),"")</f>
        <v>A_TCR0015</v>
      </c>
      <c r="B18">
        <f>IF(A18&lt;&gt;"",SquadraAttiva,"")</f>
        <v>3</v>
      </c>
      <c r="C18" t="str">
        <f t="shared" si="0"/>
        <v>3-A_TCR0015</v>
      </c>
      <c r="D18">
        <f>IFERROR(_xlfn.XLOOKUP(C18,tblRisposte[idValutazione],tblRisposte[Valore],""),"")</f>
        <v>1</v>
      </c>
      <c r="F18" s="78" t="s">
        <v>195</v>
      </c>
      <c r="G18" t="s">
        <v>36</v>
      </c>
      <c r="H18" cm="1">
        <f t="array" ref="H18">_xlfn.LET(_xlpm.v,_xlfn.XLOOKUP(G18,tblValutazioni[TipoValutazione],tblValutazioni[MB],""),IF(_xlpm.v="","",_xlpm.v))</f>
        <v>3</v>
      </c>
      <c r="I18" s="18">
        <f>IF(_xlfn.XLOOKUP($A18, tblRisposte[ItemKey],tblRisposte[Valore],"")="Molto bene","X",0)</f>
        <v>0</v>
      </c>
      <c r="J18" s="1">
        <f t="shared" si="1"/>
        <v>0</v>
      </c>
      <c r="K18" t="str" cm="1">
        <f t="array" ref="K18">_xlfn.LET(_xlpm.v,_xlfn.XLOOKUP(G18,tblValutazioni[TipoValutazione],tblValutazioni[BE],""),IF(_xlpm.v="","",_xlpm.v))</f>
        <v/>
      </c>
      <c r="L18" s="18">
        <f>IF(_xlfn.XLOOKUP($A18, tblRisposte[ItemKey], tblRisposte[Valore], "")="Bene","X",0)</f>
        <v>0</v>
      </c>
      <c r="M18" s="1">
        <f t="shared" si="2"/>
        <v>0</v>
      </c>
      <c r="N18" cm="1">
        <f t="array" ref="N18">_xlfn.LET(_xlpm.v,_xlfn.XLOOKUP(G18,tblValutazioni[TipoValutazione],tblValutazioni[SU],""),IF(_xlpm.v="","",_xlpm.v))</f>
        <v>1</v>
      </c>
      <c r="O18" s="18">
        <f>IF(_xlfn.XLOOKUP($A18, tblRisposte[ItemKey], tblRisposte[Valore], "")="Soddisfacente","X",0)</f>
        <v>0</v>
      </c>
      <c r="P18" s="1">
        <f t="shared" si="3"/>
        <v>0</v>
      </c>
      <c r="Q18" t="str" cm="1">
        <f t="array" ref="Q18">_xlfn.LET(_xlpm.v,_xlfn.XLOOKUP(G18,tblValutazioni[TipoValutazione],tblValutazioni[IN],""),IF(_xlpm.v="","",_xlpm.v))</f>
        <v/>
      </c>
      <c r="R18" s="18">
        <f>IF(_xlfn.XLOOKUP($A18, tblRisposte[ItemKey], tblRisposte[Valore], "")="Insufficiente","X",0)</f>
        <v>0</v>
      </c>
      <c r="S18" s="1">
        <f t="shared" si="4"/>
        <v>0</v>
      </c>
      <c r="T18" cm="1">
        <f t="array" ref="T18">_xlfn.LET(_xlpm.v,_xlfn.XLOOKUP(G18,tblValutazioni[TipoValutazione],tblValutazioni[NE],""),IF(_xlpm.v="","",_xlpm.v))</f>
        <v>0</v>
      </c>
      <c r="U18" s="18">
        <f>IF(_xlfn.XLOOKUP($A18, tblRisposte[ItemKey], tblRisposte[Valore], "")="Non eseguito","X",0)</f>
        <v>0</v>
      </c>
      <c r="V18" s="1">
        <f t="shared" si="5"/>
        <v>0</v>
      </c>
      <c r="W18">
        <f t="shared" si="6"/>
        <v>0</v>
      </c>
      <c r="X18" t="str">
        <f>IF(COUNTIF(I18:U18,"X")=1,"OK","errore")</f>
        <v>errore</v>
      </c>
      <c r="Y18" t="str">
        <f>IF(D18="SEP",IF(I18="x",H18,IF(L18="X",K18,IF(O18="x",N18,IF(R18="X",Q18,IF(U18="X",T18,""))))),"")</f>
        <v/>
      </c>
    </row>
    <row r="19" spans="1:25" ht="15" customHeight="1">
      <c r="A19" t="str">
        <f>IF(G19&lt;&gt;"",ScenaAttiva&amp;"_"&amp;AB$4&amp;TEXT(COUNTIF($G$3:G19,"&lt;&gt;"),"0000"),"")</f>
        <v>A_TCR0016</v>
      </c>
      <c r="B19">
        <f>IF(A19&lt;&gt;"",SquadraAttiva,"")</f>
        <v>3</v>
      </c>
      <c r="C19" t="str">
        <f t="shared" si="0"/>
        <v>3-A_TCR0016</v>
      </c>
      <c r="D19">
        <f>IFERROR(_xlfn.XLOOKUP(C19,tblRisposte[idValutazione],tblRisposte[Valore],""),"")</f>
        <v>0</v>
      </c>
      <c r="F19" s="78" t="s">
        <v>232</v>
      </c>
      <c r="G19" t="s">
        <v>35</v>
      </c>
      <c r="H19" cm="1">
        <f t="array" ref="H19">_xlfn.LET(_xlpm.v,_xlfn.XLOOKUP(G19,tblValutazioni[TipoValutazione],tblValutazioni[MB],""),IF(_xlpm.v="","",_xlpm.v))</f>
        <v>5</v>
      </c>
      <c r="I19" s="18">
        <f>IF(_xlfn.XLOOKUP($A19, tblRisposte[ItemKey],tblRisposte[Valore],"")="Molto bene","X",0)</f>
        <v>0</v>
      </c>
      <c r="J19" s="1">
        <f t="shared" si="1"/>
        <v>0</v>
      </c>
      <c r="K19" cm="1">
        <f t="array" ref="K19">_xlfn.LET(_xlpm.v,_xlfn.XLOOKUP(G19,tblValutazioni[TipoValutazione],tblValutazioni[BE],""),IF(_xlpm.v="","",_xlpm.v))</f>
        <v>4</v>
      </c>
      <c r="L19" s="18">
        <f>IF(_xlfn.XLOOKUP($A19, tblRisposte[ItemKey], tblRisposte[Valore], "")="Bene","X",0)</f>
        <v>0</v>
      </c>
      <c r="M19" s="1">
        <f t="shared" si="2"/>
        <v>0</v>
      </c>
      <c r="N19" cm="1">
        <f t="array" ref="N19">_xlfn.LET(_xlpm.v,_xlfn.XLOOKUP(G19,tblValutazioni[TipoValutazione],tblValutazioni[SU],""),IF(_xlpm.v="","",_xlpm.v))</f>
        <v>2</v>
      </c>
      <c r="O19" s="18">
        <f>IF(_xlfn.XLOOKUP($A19, tblRisposte[ItemKey], tblRisposte[Valore], "")="Soddisfacente","X",0)</f>
        <v>0</v>
      </c>
      <c r="P19" s="1">
        <f t="shared" si="3"/>
        <v>0</v>
      </c>
      <c r="Q19" cm="1">
        <f t="array" ref="Q19">_xlfn.LET(_xlpm.v,_xlfn.XLOOKUP(G19,tblValutazioni[TipoValutazione],tblValutazioni[IN],""),IF(_xlpm.v="","",_xlpm.v))</f>
        <v>1</v>
      </c>
      <c r="R19" s="18">
        <f>IF(_xlfn.XLOOKUP($A19, tblRisposte[ItemKey], tblRisposte[Valore], "")="Insufficiente","X",0)</f>
        <v>0</v>
      </c>
      <c r="S19" s="1">
        <f t="shared" si="4"/>
        <v>0</v>
      </c>
      <c r="T19" cm="1">
        <f t="array" ref="T19">_xlfn.LET(_xlpm.v,_xlfn.XLOOKUP(G19,tblValutazioni[TipoValutazione],tblValutazioni[NE],""),IF(_xlpm.v="","",_xlpm.v))</f>
        <v>0</v>
      </c>
      <c r="U19" s="18">
        <f>IF(_xlfn.XLOOKUP($A19, tblRisposte[ItemKey], tblRisposte[Valore], "")="Non eseguito","X",0)</f>
        <v>0</v>
      </c>
      <c r="V19" s="1">
        <f t="shared" si="5"/>
        <v>0</v>
      </c>
      <c r="W19">
        <f t="shared" si="6"/>
        <v>0</v>
      </c>
      <c r="X19" t="str">
        <f>IF(COUNTIF(I19:U19,"X")=1,"OK","errore")</f>
        <v>errore</v>
      </c>
      <c r="Y19" t="str">
        <f>IF(D19="SEP",IF(I19="x",H19,IF(L19="X",K19,IF(O19="x",N19,IF(R19="X",Q19,IF(U19="X",T19,""))))),"")</f>
        <v/>
      </c>
    </row>
    <row r="20" spans="1:25" ht="15" customHeight="1">
      <c r="A20" t="str">
        <f>IF(G20&lt;&gt;"",ScenaAttiva&amp;"_"&amp;AB$4&amp;TEXT(COUNTIF($G$3:G20,"&lt;&gt;"),"0000"),"")</f>
        <v>A_TCR0017</v>
      </c>
      <c r="B20">
        <f>IF(A20&lt;&gt;"",SquadraAttiva,"")</f>
        <v>3</v>
      </c>
      <c r="C20" t="str">
        <f t="shared" si="0"/>
        <v>3-A_TCR0017</v>
      </c>
      <c r="D20">
        <f>IFERROR(_xlfn.XLOOKUP(C20,tblRisposte[idValutazione],tblRisposte[Valore],""),"")</f>
        <v>4</v>
      </c>
      <c r="F20" s="78" t="s">
        <v>234</v>
      </c>
      <c r="G20" t="s">
        <v>35</v>
      </c>
      <c r="H20" cm="1">
        <f t="array" ref="H20">_xlfn.LET(_xlpm.v,_xlfn.XLOOKUP(G20,tblValutazioni[TipoValutazione],tblValutazioni[MB],""),IF(_xlpm.v="","",_xlpm.v))</f>
        <v>5</v>
      </c>
      <c r="I20" s="18">
        <f>IF(_xlfn.XLOOKUP($A20, tblRisposte[ItemKey],tblRisposte[Valore],"")="Molto bene","X",0)</f>
        <v>0</v>
      </c>
      <c r="J20" s="1">
        <f t="shared" si="1"/>
        <v>0</v>
      </c>
      <c r="K20" cm="1">
        <f t="array" ref="K20">_xlfn.LET(_xlpm.v,_xlfn.XLOOKUP(G20,tblValutazioni[TipoValutazione],tblValutazioni[BE],""),IF(_xlpm.v="","",_xlpm.v))</f>
        <v>4</v>
      </c>
      <c r="L20" s="18">
        <f>IF(_xlfn.XLOOKUP($A20, tblRisposte[ItemKey], tblRisposte[Valore], "")="Bene","X",0)</f>
        <v>0</v>
      </c>
      <c r="M20" s="1">
        <f t="shared" si="2"/>
        <v>0</v>
      </c>
      <c r="N20" cm="1">
        <f t="array" ref="N20">_xlfn.LET(_xlpm.v,_xlfn.XLOOKUP(G20,tblValutazioni[TipoValutazione],tblValutazioni[SU],""),IF(_xlpm.v="","",_xlpm.v))</f>
        <v>2</v>
      </c>
      <c r="O20" s="18">
        <f>IF(_xlfn.XLOOKUP($A20, tblRisposte[ItemKey], tblRisposte[Valore], "")="Soddisfacente","X",0)</f>
        <v>0</v>
      </c>
      <c r="P20" s="1">
        <f t="shared" si="3"/>
        <v>0</v>
      </c>
      <c r="Q20" cm="1">
        <f t="array" ref="Q20">_xlfn.LET(_xlpm.v,_xlfn.XLOOKUP(G20,tblValutazioni[TipoValutazione],tblValutazioni[IN],""),IF(_xlpm.v="","",_xlpm.v))</f>
        <v>1</v>
      </c>
      <c r="R20" s="18">
        <f>IF(_xlfn.XLOOKUP($A20, tblRisposte[ItemKey], tblRisposte[Valore], "")="Insufficiente","X",0)</f>
        <v>0</v>
      </c>
      <c r="S20" s="1">
        <f t="shared" si="4"/>
        <v>0</v>
      </c>
      <c r="T20" cm="1">
        <f t="array" ref="T20">_xlfn.LET(_xlpm.v,_xlfn.XLOOKUP(G20,tblValutazioni[TipoValutazione],tblValutazioni[NE],""),IF(_xlpm.v="","",_xlpm.v))</f>
        <v>0</v>
      </c>
      <c r="U20" s="18">
        <f>IF(_xlfn.XLOOKUP($A20, tblRisposte[ItemKey], tblRisposte[Valore], "")="Non eseguito","X",0)</f>
        <v>0</v>
      </c>
      <c r="V20" s="1">
        <f t="shared" si="5"/>
        <v>0</v>
      </c>
      <c r="W20">
        <f t="shared" si="6"/>
        <v>0</v>
      </c>
      <c r="X20" t="str">
        <f>IF(COUNTIF(I20:U20,"X")=1,"OK","errore")</f>
        <v>errore</v>
      </c>
      <c r="Y20" t="str">
        <f>IF(D20="SEP",IF(I20="x",H20,IF(L20="X",K20,IF(O20="x",N20,IF(R20="X",Q20,IF(U20="X",T20,""))))),"")</f>
        <v/>
      </c>
    </row>
    <row r="21" spans="1:25" ht="15" customHeight="1">
      <c r="A21" t="str">
        <f>IF(G21&lt;&gt;"",ScenaAttiva&amp;"_"&amp;AB$4&amp;TEXT(COUNTIF($G$3:G21,"&lt;&gt;"),"0000"),"")</f>
        <v>A_TCR0018</v>
      </c>
      <c r="B21">
        <f>IF(A21&lt;&gt;"",SquadraAttiva,"")</f>
        <v>3</v>
      </c>
      <c r="C21" t="str">
        <f t="shared" si="0"/>
        <v>3-A_TCR0018</v>
      </c>
      <c r="D21">
        <f>IFERROR(_xlfn.XLOOKUP(C21,tblRisposte[idValutazione],tblRisposte[Valore],""),"")</f>
        <v>4</v>
      </c>
      <c r="F21" s="78" t="s">
        <v>236</v>
      </c>
      <c r="G21" t="s">
        <v>35</v>
      </c>
      <c r="H21" cm="1">
        <f t="array" ref="H21">_xlfn.LET(_xlpm.v,_xlfn.XLOOKUP(G21,tblValutazioni[TipoValutazione],tblValutazioni[MB],""),IF(_xlpm.v="","",_xlpm.v))</f>
        <v>5</v>
      </c>
      <c r="I21" s="18">
        <f>IF(_xlfn.XLOOKUP($A21, tblRisposte[ItemKey],tblRisposte[Valore],"")="Molto bene","X",0)</f>
        <v>0</v>
      </c>
      <c r="J21" s="1">
        <f t="shared" si="1"/>
        <v>0</v>
      </c>
      <c r="K21" cm="1">
        <f t="array" ref="K21">_xlfn.LET(_xlpm.v,_xlfn.XLOOKUP(G21,tblValutazioni[TipoValutazione],tblValutazioni[BE],""),IF(_xlpm.v="","",_xlpm.v))</f>
        <v>4</v>
      </c>
      <c r="L21" s="18">
        <f>IF(_xlfn.XLOOKUP($A21, tblRisposte[ItemKey], tblRisposte[Valore], "")="Bene","X",0)</f>
        <v>0</v>
      </c>
      <c r="M21" s="1">
        <f t="shared" si="2"/>
        <v>0</v>
      </c>
      <c r="N21" cm="1">
        <f t="array" ref="N21">_xlfn.LET(_xlpm.v,_xlfn.XLOOKUP(G21,tblValutazioni[TipoValutazione],tblValutazioni[SU],""),IF(_xlpm.v="","",_xlpm.v))</f>
        <v>2</v>
      </c>
      <c r="O21" s="18">
        <f>IF(_xlfn.XLOOKUP($A21, tblRisposte[ItemKey], tblRisposte[Valore], "")="Soddisfacente","X",0)</f>
        <v>0</v>
      </c>
      <c r="P21" s="1">
        <f t="shared" si="3"/>
        <v>0</v>
      </c>
      <c r="Q21" cm="1">
        <f t="array" ref="Q21">_xlfn.LET(_xlpm.v,_xlfn.XLOOKUP(G21,tblValutazioni[TipoValutazione],tblValutazioni[IN],""),IF(_xlpm.v="","",_xlpm.v))</f>
        <v>1</v>
      </c>
      <c r="R21" s="18">
        <f>IF(_xlfn.XLOOKUP($A21, tblRisposte[ItemKey], tblRisposte[Valore], "")="Insufficiente","X",0)</f>
        <v>0</v>
      </c>
      <c r="S21" s="1">
        <f t="shared" si="4"/>
        <v>0</v>
      </c>
      <c r="T21" cm="1">
        <f t="array" ref="T21">_xlfn.LET(_xlpm.v,_xlfn.XLOOKUP(G21,tblValutazioni[TipoValutazione],tblValutazioni[NE],""),IF(_xlpm.v="","",_xlpm.v))</f>
        <v>0</v>
      </c>
      <c r="U21" s="18">
        <f>IF(_xlfn.XLOOKUP($A21, tblRisposte[ItemKey], tblRisposte[Valore], "")="Non eseguito","X",0)</f>
        <v>0</v>
      </c>
      <c r="V21" s="1">
        <f t="shared" si="5"/>
        <v>0</v>
      </c>
      <c r="W21">
        <f t="shared" si="6"/>
        <v>0</v>
      </c>
      <c r="X21" t="str">
        <f>IF(COUNTIF(I21:U21,"X")=1,"OK","errore")</f>
        <v>errore</v>
      </c>
      <c r="Y21" t="str">
        <f>IF(D21="SEP",IF(I21="x",H21,IF(L21="X",K21,IF(O21="x",N21,IF(R21="X",Q21,IF(U21="X",T21,""))))),"")</f>
        <v/>
      </c>
    </row>
    <row r="22" spans="1:25" ht="15" customHeight="1">
      <c r="A22" t="str">
        <f>IF(G22&lt;&gt;"",ScenaAttiva&amp;"_"&amp;AB$4&amp;TEXT(COUNTIF($G$3:G22,"&lt;&gt;"),"0000"),"")</f>
        <v>A_TCR0019</v>
      </c>
      <c r="B22">
        <f>IF(A22&lt;&gt;"",SquadraAttiva,"")</f>
        <v>3</v>
      </c>
      <c r="C22" t="str">
        <f t="shared" si="0"/>
        <v>3-A_TCR0019</v>
      </c>
      <c r="D22">
        <f>IFERROR(_xlfn.XLOOKUP(C22,tblRisposte[idValutazione],tblRisposte[Valore],""),"")</f>
        <v>0</v>
      </c>
      <c r="F22" s="78" t="s">
        <v>238</v>
      </c>
      <c r="G22" t="s">
        <v>35</v>
      </c>
      <c r="H22" cm="1">
        <f t="array" ref="H22">_xlfn.LET(_xlpm.v,_xlfn.XLOOKUP(G22,tblValutazioni[TipoValutazione],tblValutazioni[MB],""),IF(_xlpm.v="","",_xlpm.v))</f>
        <v>5</v>
      </c>
      <c r="I22" s="18">
        <f>IF(_xlfn.XLOOKUP($A22, tblRisposte[ItemKey],tblRisposte[Valore],"")="Molto bene","X",0)</f>
        <v>0</v>
      </c>
      <c r="J22" s="1">
        <f t="shared" si="1"/>
        <v>0</v>
      </c>
      <c r="K22" cm="1">
        <f t="array" ref="K22">_xlfn.LET(_xlpm.v,_xlfn.XLOOKUP(G22,tblValutazioni[TipoValutazione],tblValutazioni[BE],""),IF(_xlpm.v="","",_xlpm.v))</f>
        <v>4</v>
      </c>
      <c r="L22" s="18">
        <f>IF(_xlfn.XLOOKUP($A22, tblRisposte[ItemKey], tblRisposte[Valore], "")="Bene","X",0)</f>
        <v>0</v>
      </c>
      <c r="M22" s="1">
        <f t="shared" si="2"/>
        <v>0</v>
      </c>
      <c r="N22" cm="1">
        <f t="array" ref="N22">_xlfn.LET(_xlpm.v,_xlfn.XLOOKUP(G22,tblValutazioni[TipoValutazione],tblValutazioni[SU],""),IF(_xlpm.v="","",_xlpm.v))</f>
        <v>2</v>
      </c>
      <c r="O22" s="18">
        <f>IF(_xlfn.XLOOKUP($A22, tblRisposte[ItemKey], tblRisposte[Valore], "")="Soddisfacente","X",0)</f>
        <v>0</v>
      </c>
      <c r="P22" s="1">
        <f t="shared" si="3"/>
        <v>0</v>
      </c>
      <c r="Q22" cm="1">
        <f t="array" ref="Q22">_xlfn.LET(_xlpm.v,_xlfn.XLOOKUP(G22,tblValutazioni[TipoValutazione],tblValutazioni[IN],""),IF(_xlpm.v="","",_xlpm.v))</f>
        <v>1</v>
      </c>
      <c r="R22" s="18">
        <f>IF(_xlfn.XLOOKUP($A22, tblRisposte[ItemKey], tblRisposte[Valore], "")="Insufficiente","X",0)</f>
        <v>0</v>
      </c>
      <c r="S22" s="1">
        <f t="shared" si="4"/>
        <v>0</v>
      </c>
      <c r="T22" cm="1">
        <f t="array" ref="T22">_xlfn.LET(_xlpm.v,_xlfn.XLOOKUP(G22,tblValutazioni[TipoValutazione],tblValutazioni[NE],""),IF(_xlpm.v="","",_xlpm.v))</f>
        <v>0</v>
      </c>
      <c r="U22" s="18">
        <f>IF(_xlfn.XLOOKUP($A22, tblRisposte[ItemKey], tblRisposte[Valore], "")="Non eseguito","X",0)</f>
        <v>0</v>
      </c>
      <c r="V22" s="1">
        <f t="shared" si="5"/>
        <v>0</v>
      </c>
      <c r="W22">
        <f t="shared" si="6"/>
        <v>0</v>
      </c>
      <c r="X22" t="str">
        <f>IF(COUNTIF(I22:U22,"X")=1,"OK","errore")</f>
        <v>errore</v>
      </c>
      <c r="Y22" t="str">
        <f>IF(D22="SEP",IF(I22="x",H22,IF(L22="X",K22,IF(O22="x",N22,IF(R22="X",Q22,IF(U22="X",T22,""))))),"")</f>
        <v/>
      </c>
    </row>
    <row r="23" spans="1:25" ht="15" customHeight="1">
      <c r="A23" t="str">
        <f>IF(G23&lt;&gt;"",ScenaAttiva&amp;"_"&amp;AB$4&amp;TEXT(COUNTIF($G$3:G23,"&lt;&gt;"),"0000"),"")</f>
        <v>A_TCR0020</v>
      </c>
      <c r="B23">
        <f>IF(A23&lt;&gt;"",SquadraAttiva,"")</f>
        <v>3</v>
      </c>
      <c r="C23" t="str">
        <f t="shared" si="0"/>
        <v>3-A_TCR0020</v>
      </c>
      <c r="D23">
        <f>IFERROR(_xlfn.XLOOKUP(C23,tblRisposte[idValutazione],tblRisposte[Valore],""),"")</f>
        <v>1</v>
      </c>
      <c r="F23" s="78" t="s">
        <v>240</v>
      </c>
      <c r="G23" t="s">
        <v>37</v>
      </c>
      <c r="H23" cm="1">
        <f t="array" ref="H23">_xlfn.LET(_xlpm.v,_xlfn.XLOOKUP(G23,tblValutazioni[TipoValutazione],tblValutazioni[MB],""),IF(_xlpm.v="","",_xlpm.v))</f>
        <v>10</v>
      </c>
      <c r="I23" s="18">
        <f>IF(_xlfn.XLOOKUP($A23, tblRisposte[ItemKey],tblRisposte[Valore],"")="Molto bene","X",0)</f>
        <v>0</v>
      </c>
      <c r="J23" s="1">
        <f t="shared" si="1"/>
        <v>0</v>
      </c>
      <c r="K23" cm="1">
        <f t="array" ref="K23">_xlfn.LET(_xlpm.v,_xlfn.XLOOKUP(G23,tblValutazioni[TipoValutazione],tblValutazioni[BE],""),IF(_xlpm.v="","",_xlpm.v))</f>
        <v>8</v>
      </c>
      <c r="L23" s="18">
        <f>IF(_xlfn.XLOOKUP($A23, tblRisposte[ItemKey], tblRisposte[Valore], "")="Bene","X",0)</f>
        <v>0</v>
      </c>
      <c r="M23" s="1">
        <f t="shared" si="2"/>
        <v>0</v>
      </c>
      <c r="N23" cm="1">
        <f t="array" ref="N23">_xlfn.LET(_xlpm.v,_xlfn.XLOOKUP(G23,tblValutazioni[TipoValutazione],tblValutazioni[SU],""),IF(_xlpm.v="","",_xlpm.v))</f>
        <v>4</v>
      </c>
      <c r="O23" s="18">
        <f>IF(_xlfn.XLOOKUP($A23, tblRisposte[ItemKey], tblRisposte[Valore], "")="Soddisfacente","X",0)</f>
        <v>0</v>
      </c>
      <c r="P23" s="1">
        <f t="shared" si="3"/>
        <v>0</v>
      </c>
      <c r="Q23" cm="1">
        <f t="array" ref="Q23">_xlfn.LET(_xlpm.v,_xlfn.XLOOKUP(G23,tblValutazioni[TipoValutazione],tblValutazioni[IN],""),IF(_xlpm.v="","",_xlpm.v))</f>
        <v>1</v>
      </c>
      <c r="R23" s="18">
        <f>IF(_xlfn.XLOOKUP($A23, tblRisposte[ItemKey], tblRisposte[Valore], "")="Insufficiente","X",0)</f>
        <v>0</v>
      </c>
      <c r="S23" s="1">
        <f t="shared" si="4"/>
        <v>0</v>
      </c>
      <c r="T23" cm="1">
        <f t="array" ref="T23">_xlfn.LET(_xlpm.v,_xlfn.XLOOKUP(G23,tblValutazioni[TipoValutazione],tblValutazioni[NE],""),IF(_xlpm.v="","",_xlpm.v))</f>
        <v>0</v>
      </c>
      <c r="U23" s="18">
        <f>IF(_xlfn.XLOOKUP($A23, tblRisposte[ItemKey], tblRisposte[Valore], "")="Non eseguito","X",0)</f>
        <v>0</v>
      </c>
      <c r="V23" s="1">
        <f t="shared" si="5"/>
        <v>0</v>
      </c>
      <c r="W23">
        <f t="shared" si="6"/>
        <v>0</v>
      </c>
      <c r="X23" t="str">
        <f>IF(COUNTIF(I23:U23,"X")=1,"OK","errore")</f>
        <v>errore</v>
      </c>
      <c r="Y23" t="str">
        <f>IF(D23="SEP",IF(I23="x",H23,IF(L23="X",K23,IF(O23="x",N23,IF(R23="X",Q23,IF(U23="X",T23,""))))),"")</f>
        <v/>
      </c>
    </row>
    <row r="24" spans="1:25" ht="15" customHeight="1">
      <c r="A24" s="17" t="str">
        <f>IF(G24&lt;&gt;"",ScenaAttiva&amp;"_"&amp;AB$4&amp;TEXT(COUNTIF($G$3:G24,"&lt;&gt;"),"0000"),"")</f>
        <v>A_TCR0021</v>
      </c>
      <c r="B24" s="17">
        <f>IF(A24&lt;&gt;"",SquadraAttiva,"")</f>
        <v>3</v>
      </c>
      <c r="C24" s="17" t="str">
        <f t="shared" si="0"/>
        <v>3-A_TCR0021</v>
      </c>
      <c r="D24" s="17">
        <f>IFERROR(_xlfn.XLOOKUP(C24,tblRisposte[idValutazione],tblRisposte[Valore],""),"")</f>
        <v>2</v>
      </c>
      <c r="E24" s="17"/>
      <c r="F24" s="78" t="s">
        <v>201</v>
      </c>
      <c r="G24" t="s">
        <v>35</v>
      </c>
      <c r="H24" cm="1">
        <f t="array" ref="H24">_xlfn.LET(_xlpm.v,_xlfn.XLOOKUP(G24,tblValutazioni[TipoValutazione],tblValutazioni[MB],""),IF(_xlpm.v="","",_xlpm.v))</f>
        <v>5</v>
      </c>
      <c r="I24" s="18">
        <f>IF(_xlfn.XLOOKUP($A24, tblRisposte[ItemKey],tblRisposte[Valore],"")="Molto bene","X",0)</f>
        <v>0</v>
      </c>
      <c r="J24" s="1">
        <f t="shared" si="1"/>
        <v>0</v>
      </c>
      <c r="K24" cm="1">
        <f t="array" ref="K24">_xlfn.LET(_xlpm.v,_xlfn.XLOOKUP(G24,tblValutazioni[TipoValutazione],tblValutazioni[BE],""),IF(_xlpm.v="","",_xlpm.v))</f>
        <v>4</v>
      </c>
      <c r="L24" s="18">
        <f>IF(_xlfn.XLOOKUP($A24, tblRisposte[ItemKey], tblRisposte[Valore], "")="Bene","X",0)</f>
        <v>0</v>
      </c>
      <c r="M24" s="1">
        <f t="shared" si="2"/>
        <v>0</v>
      </c>
      <c r="N24" cm="1">
        <f t="array" ref="N24">_xlfn.LET(_xlpm.v,_xlfn.XLOOKUP(G24,tblValutazioni[TipoValutazione],tblValutazioni[SU],""),IF(_xlpm.v="","",_xlpm.v))</f>
        <v>2</v>
      </c>
      <c r="O24" s="18">
        <f>IF(_xlfn.XLOOKUP($A24, tblRisposte[ItemKey], tblRisposte[Valore], "")="Soddisfacente","X",0)</f>
        <v>0</v>
      </c>
      <c r="P24" s="1">
        <f t="shared" si="3"/>
        <v>0</v>
      </c>
      <c r="Q24" cm="1">
        <f t="array" ref="Q24">_xlfn.LET(_xlpm.v,_xlfn.XLOOKUP(G24,tblValutazioni[TipoValutazione],tblValutazioni[IN],""),IF(_xlpm.v="","",_xlpm.v))</f>
        <v>1</v>
      </c>
      <c r="R24" s="18">
        <f>IF(_xlfn.XLOOKUP($A24, tblRisposte[ItemKey], tblRisposte[Valore], "")="Insufficiente","X",0)</f>
        <v>0</v>
      </c>
      <c r="S24" s="1">
        <f t="shared" si="4"/>
        <v>0</v>
      </c>
      <c r="T24" cm="1">
        <f t="array" ref="T24">_xlfn.LET(_xlpm.v,_xlfn.XLOOKUP(G24,tblValutazioni[TipoValutazione],tblValutazioni[NE],""),IF(_xlpm.v="","",_xlpm.v))</f>
        <v>0</v>
      </c>
      <c r="U24" s="18">
        <f>IF(_xlfn.XLOOKUP($A24, tblRisposte[ItemKey], tblRisposte[Valore], "")="Non eseguito","X",0)</f>
        <v>0</v>
      </c>
      <c r="V24" s="1">
        <f t="shared" si="5"/>
        <v>0</v>
      </c>
      <c r="W24">
        <f t="shared" si="6"/>
        <v>0</v>
      </c>
      <c r="X24" t="str">
        <f>IF(COUNTIF(I24:U24,"X")=1,"OK","errore")</f>
        <v>errore</v>
      </c>
      <c r="Y24" t="str">
        <f>IF(D24="SEP",IF(I24="x",H24,IF(L24="X",K24,IF(O24="x",N24,IF(R24="X",Q24,IF(U24="X",T24,""))))),"")</f>
        <v/>
      </c>
    </row>
    <row r="25" spans="1:25" ht="15" customHeight="1">
      <c r="A25" t="str">
        <f>IF(G25&lt;&gt;"",ScenaAttiva&amp;"_"&amp;AB$4&amp;TEXT(COUNTIF($G$3:G25,"&lt;&gt;"),"0000"),"")</f>
        <v/>
      </c>
      <c r="B25" t="str">
        <f>IF(A25&lt;&gt;"",SquadraAttiva,"")</f>
        <v/>
      </c>
      <c r="C25" t="str">
        <f t="shared" si="0"/>
        <v/>
      </c>
      <c r="D25" t="str">
        <f>IFERROR(_xlfn.XLOOKUP(C25,tblRisposte[idValutazione],tblRisposte[Valore],""),"")</f>
        <v/>
      </c>
      <c r="F25" s="84" t="s">
        <v>203</v>
      </c>
      <c r="G25" s="17"/>
      <c r="H25" t="str" cm="1">
        <f t="array" ref="H25">_xlfn.LET(_xlpm.v,_xlfn.XLOOKUP(G25,tblValutazioni[TipoValutazione],tblValutazioni[MB],""),IF(_xlpm.v="","",_xlpm.v))</f>
        <v/>
      </c>
      <c r="I25" s="18">
        <f>IF(_xlfn.XLOOKUP($A25, tblRisposte[ItemKey],tblRisposte[Valore],"")="Molto bene","X",0)</f>
        <v>0</v>
      </c>
      <c r="J25" s="1">
        <f t="shared" si="1"/>
        <v>0</v>
      </c>
      <c r="K25" t="str" cm="1">
        <f t="array" ref="K25">_xlfn.LET(_xlpm.v,_xlfn.XLOOKUP(G25,tblValutazioni[TipoValutazione],tblValutazioni[BE],""),IF(_xlpm.v="","",_xlpm.v))</f>
        <v/>
      </c>
      <c r="L25" s="18">
        <f>IF(_xlfn.XLOOKUP($A25, tblRisposte[ItemKey], tblRisposte[Valore], "")="Bene","X",0)</f>
        <v>0</v>
      </c>
      <c r="M25" s="1">
        <f t="shared" si="2"/>
        <v>0</v>
      </c>
      <c r="N25" t="str" cm="1">
        <f t="array" ref="N25">_xlfn.LET(_xlpm.v,_xlfn.XLOOKUP(G25,tblValutazioni[TipoValutazione],tblValutazioni[SU],""),IF(_xlpm.v="","",_xlpm.v))</f>
        <v/>
      </c>
      <c r="O25" s="18">
        <f>IF(_xlfn.XLOOKUP($A25, tblRisposte[ItemKey], tblRisposte[Valore], "")="Soddisfacente","X",0)</f>
        <v>0</v>
      </c>
      <c r="P25" s="1">
        <f t="shared" si="3"/>
        <v>0</v>
      </c>
      <c r="Q25" t="str" cm="1">
        <f t="array" ref="Q25">_xlfn.LET(_xlpm.v,_xlfn.XLOOKUP(G25,tblValutazioni[TipoValutazione],tblValutazioni[IN],""),IF(_xlpm.v="","",_xlpm.v))</f>
        <v/>
      </c>
      <c r="R25" s="18">
        <f>IF(_xlfn.XLOOKUP($A25, tblRisposte[ItemKey], tblRisposte[Valore], "")="Insufficiente","X",0)</f>
        <v>0</v>
      </c>
      <c r="S25" s="1">
        <f t="shared" si="4"/>
        <v>0</v>
      </c>
      <c r="T25" t="str" cm="1">
        <f t="array" ref="T25">_xlfn.LET(_xlpm.v,_xlfn.XLOOKUP(G25,tblValutazioni[TipoValutazione],tblValutazioni[NE],""),IF(_xlpm.v="","",_xlpm.v))</f>
        <v/>
      </c>
      <c r="U25" s="18">
        <f>IF(_xlfn.XLOOKUP($A25, tblRisposte[ItemKey], tblRisposte[Valore], "")="Non eseguito","X",0)</f>
        <v>0</v>
      </c>
      <c r="V25" s="1">
        <f t="shared" si="5"/>
        <v>0</v>
      </c>
      <c r="W25">
        <f t="shared" si="6"/>
        <v>0</v>
      </c>
      <c r="X25" t="str">
        <f>IF(COUNTIF(I25:U25,"X")=1,"OK","errore")</f>
        <v>errore</v>
      </c>
      <c r="Y25" t="str">
        <f>IF(D25="SEP",IF(I25="x",H25,IF(L25="X",K25,IF(O25="x",N25,IF(R25="X",Q25,IF(U25="X",T25,""))))),"")</f>
        <v/>
      </c>
    </row>
    <row r="26" spans="1:25" ht="15" customHeight="1">
      <c r="A26" t="str">
        <f>IF(G26&lt;&gt;"",ScenaAttiva&amp;"_"&amp;AB$4&amp;TEXT(COUNTIF($G$3:G26,"&lt;&gt;"),"0000"),"")</f>
        <v>A_TCR0022</v>
      </c>
      <c r="B26">
        <f>IF(A26&lt;&gt;"",SquadraAttiva,"")</f>
        <v>3</v>
      </c>
      <c r="C26" t="str">
        <f t="shared" si="0"/>
        <v>3-A_TCR0022</v>
      </c>
      <c r="D26">
        <f>IFERROR(_xlfn.XLOOKUP(C26,tblRisposte[idValutazione],tblRisposte[Valore],""),"")</f>
        <v>4</v>
      </c>
      <c r="E26" t="s">
        <v>653</v>
      </c>
      <c r="F26" s="78" t="s">
        <v>205</v>
      </c>
      <c r="G26" t="s">
        <v>35</v>
      </c>
      <c r="H26" cm="1">
        <f t="array" ref="H26">_xlfn.LET(_xlpm.v,_xlfn.XLOOKUP(G26,tblValutazioni[TipoValutazione],tblValutazioni[MB],""),IF(_xlpm.v="","",_xlpm.v))</f>
        <v>5</v>
      </c>
      <c r="I26" s="18">
        <f>IF(_xlfn.XLOOKUP($A26, tblRisposte[ItemKey],tblRisposte[Valore],"")="Molto bene","X",0)</f>
        <v>0</v>
      </c>
      <c r="J26" s="1">
        <f t="shared" si="1"/>
        <v>0</v>
      </c>
      <c r="K26" cm="1">
        <f t="array" ref="K26">_xlfn.LET(_xlpm.v,_xlfn.XLOOKUP(G26,tblValutazioni[TipoValutazione],tblValutazioni[BE],""),IF(_xlpm.v="","",_xlpm.v))</f>
        <v>4</v>
      </c>
      <c r="L26" s="18">
        <f>IF(_xlfn.XLOOKUP($A26, tblRisposte[ItemKey], tblRisposte[Valore], "")="Bene","X",0)</f>
        <v>0</v>
      </c>
      <c r="M26" s="1">
        <f t="shared" si="2"/>
        <v>0</v>
      </c>
      <c r="N26" cm="1">
        <f t="array" ref="N26">_xlfn.LET(_xlpm.v,_xlfn.XLOOKUP(G26,tblValutazioni[TipoValutazione],tblValutazioni[SU],""),IF(_xlpm.v="","",_xlpm.v))</f>
        <v>2</v>
      </c>
      <c r="O26" s="18">
        <f>IF(_xlfn.XLOOKUP($A26, tblRisposte[ItemKey], tblRisposte[Valore], "")="Soddisfacente","X",0)</f>
        <v>0</v>
      </c>
      <c r="P26" s="1">
        <f t="shared" si="3"/>
        <v>0</v>
      </c>
      <c r="Q26" cm="1">
        <f t="array" ref="Q26">_xlfn.LET(_xlpm.v,_xlfn.XLOOKUP(G26,tblValutazioni[TipoValutazione],tblValutazioni[IN],""),IF(_xlpm.v="","",_xlpm.v))</f>
        <v>1</v>
      </c>
      <c r="R26" s="18">
        <f>IF(_xlfn.XLOOKUP($A26, tblRisposte[ItemKey], tblRisposte[Valore], "")="Insufficiente","X",0)</f>
        <v>0</v>
      </c>
      <c r="S26" s="1">
        <f t="shared" si="4"/>
        <v>0</v>
      </c>
      <c r="T26" cm="1">
        <f t="array" ref="T26">_xlfn.LET(_xlpm.v,_xlfn.XLOOKUP(G26,tblValutazioni[TipoValutazione],tblValutazioni[NE],""),IF(_xlpm.v="","",_xlpm.v))</f>
        <v>0</v>
      </c>
      <c r="U26" s="18">
        <f>IF(_xlfn.XLOOKUP($A26, tblRisposte[ItemKey], tblRisposte[Valore], "")="Non eseguito","X",0)</f>
        <v>0</v>
      </c>
      <c r="V26" s="1">
        <f t="shared" si="5"/>
        <v>0</v>
      </c>
      <c r="W26">
        <f t="shared" si="6"/>
        <v>0</v>
      </c>
      <c r="X26" t="str">
        <f>IF(COUNTIF(I26:U26,"X")=1,"OK","errore")</f>
        <v>errore</v>
      </c>
      <c r="Y26" t="str">
        <f>IF(D26="SEP",IF(I26="x",H26,IF(L26="X",K26,IF(O26="x",N26,IF(R26="X",Q26,IF(U26="X",T26,""))))),"")</f>
        <v/>
      </c>
    </row>
    <row r="27" spans="1:25" ht="15" customHeight="1">
      <c r="A27" t="str">
        <f>IF(G27&lt;&gt;"",ScenaAttiva&amp;"_"&amp;AB$4&amp;TEXT(COUNTIF($G$3:G27,"&lt;&gt;"),"0000"),"")</f>
        <v>A_TCR0023</v>
      </c>
      <c r="B27">
        <f>IF(A27&lt;&gt;"",SquadraAttiva,"")</f>
        <v>3</v>
      </c>
      <c r="C27" t="str">
        <f t="shared" si="0"/>
        <v>3-A_TCR0023</v>
      </c>
      <c r="D27">
        <f>IFERROR(_xlfn.XLOOKUP(C27,tblRisposte[idValutazione],tblRisposte[Valore],""),"")</f>
        <v>1</v>
      </c>
      <c r="E27" t="s">
        <v>653</v>
      </c>
      <c r="F27" s="78" t="s">
        <v>207</v>
      </c>
      <c r="G27" t="s">
        <v>35</v>
      </c>
      <c r="H27" cm="1">
        <f t="array" ref="H27">_xlfn.LET(_xlpm.v,_xlfn.XLOOKUP(G27,tblValutazioni[TipoValutazione],tblValutazioni[MB],""),IF(_xlpm.v="","",_xlpm.v))</f>
        <v>5</v>
      </c>
      <c r="I27" s="18">
        <f>IF(_xlfn.XLOOKUP($A27, tblRisposte[ItemKey],tblRisposte[Valore],"")="Molto bene","X",0)</f>
        <v>0</v>
      </c>
      <c r="J27" s="1">
        <f t="shared" si="1"/>
        <v>0</v>
      </c>
      <c r="K27" cm="1">
        <f t="array" ref="K27">_xlfn.LET(_xlpm.v,_xlfn.XLOOKUP(G27,tblValutazioni[TipoValutazione],tblValutazioni[BE],""),IF(_xlpm.v="","",_xlpm.v))</f>
        <v>4</v>
      </c>
      <c r="L27" s="18">
        <f>IF(_xlfn.XLOOKUP($A27, tblRisposte[ItemKey], tblRisposte[Valore], "")="Bene","X",0)</f>
        <v>0</v>
      </c>
      <c r="M27" s="1">
        <f t="shared" si="2"/>
        <v>0</v>
      </c>
      <c r="N27" cm="1">
        <f t="array" ref="N27">_xlfn.LET(_xlpm.v,_xlfn.XLOOKUP(G27,tblValutazioni[TipoValutazione],tblValutazioni[SU],""),IF(_xlpm.v="","",_xlpm.v))</f>
        <v>2</v>
      </c>
      <c r="O27" s="18">
        <f>IF(_xlfn.XLOOKUP($A27, tblRisposte[ItemKey], tblRisposte[Valore], "")="Soddisfacente","X",0)</f>
        <v>0</v>
      </c>
      <c r="P27" s="1">
        <f t="shared" si="3"/>
        <v>0</v>
      </c>
      <c r="Q27" cm="1">
        <f t="array" ref="Q27">_xlfn.LET(_xlpm.v,_xlfn.XLOOKUP(G27,tblValutazioni[TipoValutazione],tblValutazioni[IN],""),IF(_xlpm.v="","",_xlpm.v))</f>
        <v>1</v>
      </c>
      <c r="R27" s="18">
        <f>IF(_xlfn.XLOOKUP($A27, tblRisposte[ItemKey], tblRisposte[Valore], "")="Insufficiente","X",0)</f>
        <v>0</v>
      </c>
      <c r="S27" s="1">
        <f t="shared" si="4"/>
        <v>0</v>
      </c>
      <c r="T27" cm="1">
        <f t="array" ref="T27">_xlfn.LET(_xlpm.v,_xlfn.XLOOKUP(G27,tblValutazioni[TipoValutazione],tblValutazioni[NE],""),IF(_xlpm.v="","",_xlpm.v))</f>
        <v>0</v>
      </c>
      <c r="U27" s="18">
        <f>IF(_xlfn.XLOOKUP($A27, tblRisposte[ItemKey], tblRisposte[Valore], "")="Non eseguito","X",0)</f>
        <v>0</v>
      </c>
      <c r="V27" s="1">
        <f t="shared" si="5"/>
        <v>0</v>
      </c>
      <c r="W27">
        <f t="shared" si="6"/>
        <v>0</v>
      </c>
      <c r="X27" t="str">
        <f>IF(COUNTIF(I27:U27,"X")=1,"OK","errore")</f>
        <v>errore</v>
      </c>
      <c r="Y27" t="str">
        <f>IF(D27="SEP",IF(I27="x",H27,IF(L27="X",K27,IF(O27="x",N27,IF(R27="X",Q27,IF(U27="X",T27,""))))),"")</f>
        <v/>
      </c>
    </row>
    <row r="28" spans="1:25" ht="15" customHeight="1">
      <c r="A28" t="str">
        <f>IF(G28&lt;&gt;"",ScenaAttiva&amp;"_"&amp;AB$4&amp;TEXT(COUNTIF($G$3:G28,"&lt;&gt;"),"0000"),"")</f>
        <v/>
      </c>
      <c r="B28" t="str">
        <f>IF(A28&lt;&gt;"",SquadraAttiva,"")</f>
        <v/>
      </c>
      <c r="C28" t="str">
        <f t="shared" si="0"/>
        <v/>
      </c>
      <c r="D28" t="str">
        <f>IFERROR(_xlfn.XLOOKUP(C28,tblRisposte[idValutazione],tblRisposte[Valore],""),"")</f>
        <v/>
      </c>
      <c r="F28" s="78"/>
      <c r="G28" s="26"/>
      <c r="H28" t="str" cm="1">
        <f t="array" ref="H28">_xlfn.LET(_xlpm.v,_xlfn.XLOOKUP(G28,tblValutazioni[TipoValutazione],tblValutazioni[MB],""),IF(_xlpm.v="","",_xlpm.v))</f>
        <v/>
      </c>
      <c r="I28" s="18">
        <f>IF(_xlfn.XLOOKUP($A28, tblRisposte[ItemKey],tblRisposte[Valore],"")="Molto bene","X",0)</f>
        <v>0</v>
      </c>
      <c r="J28" s="1">
        <f t="shared" si="1"/>
        <v>0</v>
      </c>
      <c r="K28" t="str" cm="1">
        <f t="array" ref="K28">_xlfn.LET(_xlpm.v,_xlfn.XLOOKUP(G28,tblValutazioni[TipoValutazione],tblValutazioni[BE],""),IF(_xlpm.v="","",_xlpm.v))</f>
        <v/>
      </c>
      <c r="L28" s="18">
        <f>IF(_xlfn.XLOOKUP($A28, tblRisposte[ItemKey], tblRisposte[Valore], "")="Bene","X",0)</f>
        <v>0</v>
      </c>
      <c r="M28" s="1">
        <f t="shared" si="2"/>
        <v>0</v>
      </c>
      <c r="N28" t="str" cm="1">
        <f t="array" ref="N28">_xlfn.LET(_xlpm.v,_xlfn.XLOOKUP(G28,tblValutazioni[TipoValutazione],tblValutazioni[SU],""),IF(_xlpm.v="","",_xlpm.v))</f>
        <v/>
      </c>
      <c r="O28" s="18">
        <f>IF(_xlfn.XLOOKUP($A28, tblRisposte[ItemKey], tblRisposte[Valore], "")="Soddisfacente","X",0)</f>
        <v>0</v>
      </c>
      <c r="P28" s="1">
        <f t="shared" si="3"/>
        <v>0</v>
      </c>
      <c r="Q28" t="str" cm="1">
        <f t="array" ref="Q28">_xlfn.LET(_xlpm.v,_xlfn.XLOOKUP(G28,tblValutazioni[TipoValutazione],tblValutazioni[IN],""),IF(_xlpm.v="","",_xlpm.v))</f>
        <v/>
      </c>
      <c r="R28" s="18">
        <f>IF(_xlfn.XLOOKUP($A28, tblRisposte[ItemKey], tblRisposte[Valore], "")="Insufficiente","X",0)</f>
        <v>0</v>
      </c>
      <c r="S28" s="1">
        <f t="shared" si="4"/>
        <v>0</v>
      </c>
      <c r="T28" t="str" cm="1">
        <f t="array" ref="T28">_xlfn.LET(_xlpm.v,_xlfn.XLOOKUP(G28,tblValutazioni[TipoValutazione],tblValutazioni[NE],""),IF(_xlpm.v="","",_xlpm.v))</f>
        <v/>
      </c>
      <c r="U28" s="18">
        <f>IF(_xlfn.XLOOKUP($A28, tblRisposte[ItemKey], tblRisposte[Valore], "")="Non eseguito","X",0)</f>
        <v>0</v>
      </c>
      <c r="V28" s="1">
        <f t="shared" si="5"/>
        <v>0</v>
      </c>
      <c r="W28">
        <f t="shared" si="6"/>
        <v>0</v>
      </c>
      <c r="X28" t="str">
        <f>IF(COUNTIF(I28:U28,"X")=1,"OK","errore")</f>
        <v>errore</v>
      </c>
      <c r="Y28" t="str">
        <f>IF(D28="SEP",IF(I28="x",H28,IF(L28="X",K28,IF(O28="x",N28,IF(R28="X",Q28,IF(U28="X",T28,""))))),"")</f>
        <v/>
      </c>
    </row>
    <row r="29" spans="1:25" ht="15" customHeight="1">
      <c r="A29" t="str">
        <f>IF(G29&lt;&gt;"",ScenaAttiva&amp;"_"&amp;AB$4&amp;TEXT(COUNTIF($G$3:G29,"&lt;&gt;"),"0000"),"")</f>
        <v/>
      </c>
      <c r="B29" t="str">
        <f>IF(A29&lt;&gt;"",SquadraAttiva,"")</f>
        <v/>
      </c>
      <c r="C29" t="str">
        <f t="shared" si="0"/>
        <v/>
      </c>
      <c r="D29" t="str">
        <f>IFERROR(_xlfn.XLOOKUP(C29,tblRisposte[idValutazione],tblRisposte[Valore],""),"")</f>
        <v/>
      </c>
      <c r="F29" s="78"/>
      <c r="H29" t="str" cm="1">
        <f t="array" ref="H29">_xlfn.LET(_xlpm.v,_xlfn.XLOOKUP(G29,tblValutazioni[TipoValutazione],tblValutazioni[MB],""),IF(_xlpm.v="","",_xlpm.v))</f>
        <v/>
      </c>
      <c r="I29" s="18">
        <f>IF(_xlfn.XLOOKUP($A29, tblRisposte[ItemKey],tblRisposte[Valore],"")="Molto bene","X",0)</f>
        <v>0</v>
      </c>
      <c r="J29" s="1">
        <f t="shared" si="1"/>
        <v>0</v>
      </c>
      <c r="K29" t="str" cm="1">
        <f t="array" ref="K29">_xlfn.LET(_xlpm.v,_xlfn.XLOOKUP(G29,tblValutazioni[TipoValutazione],tblValutazioni[BE],""),IF(_xlpm.v="","",_xlpm.v))</f>
        <v/>
      </c>
      <c r="L29" s="18">
        <f>IF(_xlfn.XLOOKUP($A29, tblRisposte[ItemKey], tblRisposte[Valore], "")="Bene","X",0)</f>
        <v>0</v>
      </c>
      <c r="M29" s="1">
        <f t="shared" si="2"/>
        <v>0</v>
      </c>
      <c r="N29" t="str" cm="1">
        <f t="array" ref="N29">_xlfn.LET(_xlpm.v,_xlfn.XLOOKUP(G29,tblValutazioni[TipoValutazione],tblValutazioni[SU],""),IF(_xlpm.v="","",_xlpm.v))</f>
        <v/>
      </c>
      <c r="O29" s="18">
        <f>IF(_xlfn.XLOOKUP($A29, tblRisposte[ItemKey], tblRisposte[Valore], "")="Soddisfacente","X",0)</f>
        <v>0</v>
      </c>
      <c r="P29" s="1">
        <f t="shared" si="3"/>
        <v>0</v>
      </c>
      <c r="Q29" t="str" cm="1">
        <f t="array" ref="Q29">_xlfn.LET(_xlpm.v,_xlfn.XLOOKUP(G29,tblValutazioni[TipoValutazione],tblValutazioni[IN],""),IF(_xlpm.v="","",_xlpm.v))</f>
        <v/>
      </c>
      <c r="R29" s="18">
        <f>IF(_xlfn.XLOOKUP($A29, tblRisposte[ItemKey], tblRisposte[Valore], "")="Insufficiente","X",0)</f>
        <v>0</v>
      </c>
      <c r="S29" s="1">
        <f t="shared" si="4"/>
        <v>0</v>
      </c>
      <c r="T29" t="str" cm="1">
        <f t="array" ref="T29">_xlfn.LET(_xlpm.v,_xlfn.XLOOKUP(G29,tblValutazioni[TipoValutazione],tblValutazioni[NE],""),IF(_xlpm.v="","",_xlpm.v))</f>
        <v/>
      </c>
      <c r="U29" s="18">
        <f>IF(_xlfn.XLOOKUP($A29, tblRisposte[ItemKey], tblRisposte[Valore], "")="Non eseguito","X",0)</f>
        <v>0</v>
      </c>
      <c r="V29" s="1">
        <f t="shared" si="5"/>
        <v>0</v>
      </c>
      <c r="W29">
        <f t="shared" si="6"/>
        <v>0</v>
      </c>
      <c r="X29" t="str">
        <f>IF(COUNTIF(I29:U29,"X")=1,"OK","errore")</f>
        <v>errore</v>
      </c>
      <c r="Y29" t="str">
        <f>IF(D29="SEP",IF(I29="x",H29,IF(L29="X",K29,IF(O29="x",N29,IF(R29="X",Q29,IF(U29="X",T29,""))))),"")</f>
        <v/>
      </c>
    </row>
    <row r="30" spans="1:25" ht="15" customHeight="1">
      <c r="A30" t="str">
        <f>IF(G30&lt;&gt;"",ScenaAttiva&amp;"_"&amp;AB$4&amp;TEXT(COUNTIF($G$3:G30,"&lt;&gt;"),"0000"),"")</f>
        <v/>
      </c>
      <c r="B30" t="str">
        <f>IF(A30&lt;&gt;"",SquadraAttiva,"")</f>
        <v/>
      </c>
      <c r="C30" t="str">
        <f t="shared" si="0"/>
        <v/>
      </c>
      <c r="D30" t="str">
        <f>IFERROR(_xlfn.XLOOKUP(C30,tblRisposte[idValutazione],tblRisposte[Valore],""),"")</f>
        <v/>
      </c>
      <c r="F30" s="78"/>
      <c r="H30" t="str" cm="1">
        <f t="array" ref="H30">_xlfn.LET(_xlpm.v,_xlfn.XLOOKUP(G30,tblValutazioni[TipoValutazione],tblValutazioni[MB],""),IF(_xlpm.v="","",_xlpm.v))</f>
        <v/>
      </c>
      <c r="I30" s="18">
        <f>IF(_xlfn.XLOOKUP($A30, tblRisposte[ItemKey],tblRisposte[Valore],"")="Molto bene","X",0)</f>
        <v>0</v>
      </c>
      <c r="J30" s="1">
        <f t="shared" si="1"/>
        <v>0</v>
      </c>
      <c r="K30" t="str" cm="1">
        <f t="array" ref="K30">_xlfn.LET(_xlpm.v,_xlfn.XLOOKUP(G30,tblValutazioni[TipoValutazione],tblValutazioni[BE],""),IF(_xlpm.v="","",_xlpm.v))</f>
        <v/>
      </c>
      <c r="L30" s="18">
        <f>IF(_xlfn.XLOOKUP($A30, tblRisposte[ItemKey], tblRisposte[Valore], "")="Bene","X",0)</f>
        <v>0</v>
      </c>
      <c r="M30" s="1">
        <f t="shared" si="2"/>
        <v>0</v>
      </c>
      <c r="N30" t="str" cm="1">
        <f t="array" ref="N30">_xlfn.LET(_xlpm.v,_xlfn.XLOOKUP(G30,tblValutazioni[TipoValutazione],tblValutazioni[SU],""),IF(_xlpm.v="","",_xlpm.v))</f>
        <v/>
      </c>
      <c r="O30" s="18">
        <f>IF(_xlfn.XLOOKUP($A30, tblRisposte[ItemKey], tblRisposte[Valore], "")="Soddisfacente","X",0)</f>
        <v>0</v>
      </c>
      <c r="P30" s="1">
        <f t="shared" si="3"/>
        <v>0</v>
      </c>
      <c r="Q30" t="str" cm="1">
        <f t="array" ref="Q30">_xlfn.LET(_xlpm.v,_xlfn.XLOOKUP(G30,tblValutazioni[TipoValutazione],tblValutazioni[IN],""),IF(_xlpm.v="","",_xlpm.v))</f>
        <v/>
      </c>
      <c r="R30" s="18">
        <f>IF(_xlfn.XLOOKUP($A30, tblRisposte[ItemKey], tblRisposte[Valore], "")="Insufficiente","X",0)</f>
        <v>0</v>
      </c>
      <c r="S30" s="1">
        <f t="shared" si="4"/>
        <v>0</v>
      </c>
      <c r="T30" t="str" cm="1">
        <f t="array" ref="T30">_xlfn.LET(_xlpm.v,_xlfn.XLOOKUP(G30,tblValutazioni[TipoValutazione],tblValutazioni[NE],""),IF(_xlpm.v="","",_xlpm.v))</f>
        <v/>
      </c>
      <c r="U30" s="18">
        <f>IF(_xlfn.XLOOKUP($A30, tblRisposte[ItemKey], tblRisposte[Valore], "")="Non eseguito","X",0)</f>
        <v>0</v>
      </c>
      <c r="V30" s="1">
        <f t="shared" si="5"/>
        <v>0</v>
      </c>
      <c r="W30">
        <f t="shared" si="6"/>
        <v>0</v>
      </c>
      <c r="X30" t="str">
        <f>IF(COUNTIF(I30:U30,"X")=1,"OK","errore")</f>
        <v>errore</v>
      </c>
      <c r="Y30" t="str">
        <f>IF(D30="SEP",IF(I30="x",H30,IF(L30="X",K30,IF(O30="x",N30,IF(R30="X",Q30,IF(U30="X",T30,""))))),"")</f>
        <v/>
      </c>
    </row>
    <row r="31" spans="1:25" ht="15" customHeight="1">
      <c r="A31" t="str">
        <f>IF(G31&lt;&gt;"",ScenaAttiva&amp;"_"&amp;AB$4&amp;TEXT(COUNTIF($G$3:G31,"&lt;&gt;"),"0000"),"")</f>
        <v/>
      </c>
      <c r="B31" t="str">
        <f>IF(A31&lt;&gt;"",SquadraAttiva,"")</f>
        <v/>
      </c>
      <c r="C31" t="str">
        <f t="shared" ref="C31:C40" si="7">IF(A31&lt;&gt;"",TEXT(B31,"0")&amp;"-"&amp;TRIM(A31),"")</f>
        <v/>
      </c>
      <c r="D31" t="str">
        <f>IFERROR(_xlfn.XLOOKUP(C31,tblRisposte[idValutazione],tblRisposte[Valore],""),"")</f>
        <v/>
      </c>
      <c r="F31" s="78"/>
      <c r="H31" t="str" cm="1">
        <f t="array" ref="H31">_xlfn.LET(_xlpm.v,_xlfn.XLOOKUP(G31,tblValutazioni[TipoValutazione],tblValutazioni[MB],""),IF(_xlpm.v="","",_xlpm.v))</f>
        <v/>
      </c>
      <c r="I31" s="18">
        <f>IF(_xlfn.XLOOKUP($A31, tblRisposte[ItemKey],tblRisposte[Valore],"")="Molto bene","X",0)</f>
        <v>0</v>
      </c>
      <c r="J31" s="1">
        <f t="shared" si="1"/>
        <v>0</v>
      </c>
      <c r="K31" t="str" cm="1">
        <f t="array" ref="K31">_xlfn.LET(_xlpm.v,_xlfn.XLOOKUP(G31,tblValutazioni[TipoValutazione],tblValutazioni[BE],""),IF(_xlpm.v="","",_xlpm.v))</f>
        <v/>
      </c>
      <c r="L31" s="18">
        <f>IF(_xlfn.XLOOKUP($A31, tblRisposte[ItemKey], tblRisposte[Valore], "")="Bene","X",0)</f>
        <v>0</v>
      </c>
      <c r="M31" s="1">
        <f t="shared" si="2"/>
        <v>0</v>
      </c>
      <c r="N31" t="str" cm="1">
        <f t="array" ref="N31">_xlfn.LET(_xlpm.v,_xlfn.XLOOKUP(G31,tblValutazioni[TipoValutazione],tblValutazioni[SU],""),IF(_xlpm.v="","",_xlpm.v))</f>
        <v/>
      </c>
      <c r="O31" s="18">
        <f>IF(_xlfn.XLOOKUP($A31, tblRisposte[ItemKey], tblRisposte[Valore], "")="Soddisfacente","X",0)</f>
        <v>0</v>
      </c>
      <c r="P31" s="1">
        <f t="shared" si="3"/>
        <v>0</v>
      </c>
      <c r="Q31" t="str" cm="1">
        <f t="array" ref="Q31">_xlfn.LET(_xlpm.v,_xlfn.XLOOKUP(G31,tblValutazioni[TipoValutazione],tblValutazioni[IN],""),IF(_xlpm.v="","",_xlpm.v))</f>
        <v/>
      </c>
      <c r="R31" s="18">
        <f>IF(_xlfn.XLOOKUP($A31, tblRisposte[ItemKey], tblRisposte[Valore], "")="Insufficiente","X",0)</f>
        <v>0</v>
      </c>
      <c r="S31" s="1">
        <f t="shared" si="4"/>
        <v>0</v>
      </c>
      <c r="T31" t="str" cm="1">
        <f t="array" ref="T31">_xlfn.LET(_xlpm.v,_xlfn.XLOOKUP(G31,tblValutazioni[TipoValutazione],tblValutazioni[NE],""),IF(_xlpm.v="","",_xlpm.v))</f>
        <v/>
      </c>
      <c r="U31" s="18">
        <f>IF(_xlfn.XLOOKUP($A31, tblRisposte[ItemKey], tblRisposte[Valore], "")="Non eseguito","X",0)</f>
        <v>0</v>
      </c>
      <c r="V31" s="1">
        <f t="shared" si="5"/>
        <v>0</v>
      </c>
      <c r="W31">
        <f t="shared" si="6"/>
        <v>0</v>
      </c>
      <c r="X31" t="str">
        <f>IF(COUNTIF(I31:U31,"X")=1,"OK","errore")</f>
        <v>errore</v>
      </c>
      <c r="Y31" t="str">
        <f>IF(D31="SEP",IF(I31="x",H31,IF(L31="X",K31,IF(O31="x",N31,IF(R31="X",Q31,IF(U31="X",T31,""))))),"")</f>
        <v/>
      </c>
    </row>
    <row r="32" spans="1:25" ht="15" customHeight="1">
      <c r="A32" t="str">
        <f>IF(G32&lt;&gt;"",ScenaAttiva&amp;"_"&amp;AB$4&amp;TEXT(COUNTIF($G$3:G32,"&lt;&gt;"),"0000"),"")</f>
        <v/>
      </c>
      <c r="B32" t="str">
        <f>IF(A32&lt;&gt;"",SquadraAttiva,"")</f>
        <v/>
      </c>
      <c r="C32" t="str">
        <f t="shared" si="7"/>
        <v/>
      </c>
      <c r="D32" t="str">
        <f>IFERROR(_xlfn.XLOOKUP(C32,tblRisposte[idValutazione],tblRisposte[Valore],""),"")</f>
        <v/>
      </c>
      <c r="F32" t="s">
        <v>738</v>
      </c>
      <c r="H32" t="str" cm="1">
        <f t="array" ref="H32">_xlfn.LET(_xlpm.v,_xlfn.XLOOKUP(G32,tblValutazioni[TipoValutazione],tblValutazioni[MB],""),IF(_xlpm.v="","",_xlpm.v))</f>
        <v/>
      </c>
      <c r="I32" s="18">
        <f>IF(_xlfn.XLOOKUP($A32, tblRisposte[ItemKey],tblRisposte[Valore],"")="Molto bene","X",0)</f>
        <v>0</v>
      </c>
      <c r="J32" s="1">
        <f t="shared" si="1"/>
        <v>0</v>
      </c>
      <c r="K32" t="str" cm="1">
        <f t="array" ref="K32">_xlfn.LET(_xlpm.v,_xlfn.XLOOKUP(G32,tblValutazioni[TipoValutazione],tblValutazioni[BE],""),IF(_xlpm.v="","",_xlpm.v))</f>
        <v/>
      </c>
      <c r="L32" s="18">
        <f>IF(_xlfn.XLOOKUP($A32, tblRisposte[ItemKey], tblRisposte[Valore], "")="Bene","X",0)</f>
        <v>0</v>
      </c>
      <c r="M32" s="1">
        <f t="shared" si="2"/>
        <v>0</v>
      </c>
      <c r="N32" t="str" cm="1">
        <f t="array" ref="N32">_xlfn.LET(_xlpm.v,_xlfn.XLOOKUP(G32,tblValutazioni[TipoValutazione],tblValutazioni[SU],""),IF(_xlpm.v="","",_xlpm.v))</f>
        <v/>
      </c>
      <c r="O32" s="18">
        <f>IF(_xlfn.XLOOKUP($A32, tblRisposte[ItemKey], tblRisposte[Valore], "")="Soddisfacente","X",0)</f>
        <v>0</v>
      </c>
      <c r="P32" s="1">
        <f t="shared" si="3"/>
        <v>0</v>
      </c>
      <c r="Q32" t="str" cm="1">
        <f t="array" ref="Q32">_xlfn.LET(_xlpm.v,_xlfn.XLOOKUP(G32,tblValutazioni[TipoValutazione],tblValutazioni[IN],""),IF(_xlpm.v="","",_xlpm.v))</f>
        <v/>
      </c>
      <c r="R32" s="18">
        <f>IF(_xlfn.XLOOKUP($A32, tblRisposte[ItemKey], tblRisposte[Valore], "")="Insufficiente","X",0)</f>
        <v>0</v>
      </c>
      <c r="S32" s="1">
        <f t="shared" si="4"/>
        <v>0</v>
      </c>
      <c r="T32" t="str" cm="1">
        <f t="array" ref="T32">_xlfn.LET(_xlpm.v,_xlfn.XLOOKUP(G32,tblValutazioni[TipoValutazione],tblValutazioni[NE],""),IF(_xlpm.v="","",_xlpm.v))</f>
        <v/>
      </c>
      <c r="U32" s="18">
        <f>IF(_xlfn.XLOOKUP($A32, tblRisposte[ItemKey], tblRisposte[Valore], "")="Non eseguito","X",0)</f>
        <v>0</v>
      </c>
      <c r="V32" s="1">
        <f t="shared" si="5"/>
        <v>0</v>
      </c>
      <c r="W32">
        <f t="shared" si="6"/>
        <v>0</v>
      </c>
      <c r="X32" t="str">
        <f>IF(COUNTIF(I32:U32,"X")=1,"OK","errore")</f>
        <v>errore</v>
      </c>
      <c r="Y32" t="str">
        <f>IF(D32="SEP",IF(I32="x",H32,IF(L32="X",K32,IF(O32="x",N32,IF(R32="X",Q32,IF(U32="X",T32,""))))),"")</f>
        <v/>
      </c>
    </row>
    <row r="33" spans="1:25" ht="15" customHeight="1">
      <c r="A33" t="str">
        <f>IF(G33&lt;&gt;"",ScenaAttiva&amp;"_"&amp;AB$4&amp;TEXT(COUNTIF($G$3:G33,"&lt;&gt;"),"0000"),"")</f>
        <v/>
      </c>
      <c r="B33" t="str">
        <f>IF(A33&lt;&gt;"",SquadraAttiva,"")</f>
        <v/>
      </c>
      <c r="C33" t="str">
        <f t="shared" si="7"/>
        <v/>
      </c>
      <c r="D33" t="str">
        <f>IFERROR(_xlfn.XLOOKUP(C33,tblRisposte[idValutazione],tblRisposte[Valore],""),"")</f>
        <v/>
      </c>
      <c r="F33" t="s">
        <v>739</v>
      </c>
      <c r="H33" t="str" cm="1">
        <f t="array" ref="H33">_xlfn.LET(_xlpm.v,_xlfn.XLOOKUP(G33,tblValutazioni[TipoValutazione],tblValutazioni[MB],""),IF(_xlpm.v="","",_xlpm.v))</f>
        <v/>
      </c>
      <c r="I33" s="18">
        <f>IF(_xlfn.XLOOKUP($A33, tblRisposte[ItemKey],tblRisposte[Valore],"")="Molto bene","X",0)</f>
        <v>0</v>
      </c>
      <c r="J33" s="1">
        <f t="shared" si="1"/>
        <v>0</v>
      </c>
      <c r="K33" t="str" cm="1">
        <f t="array" ref="K33">_xlfn.LET(_xlpm.v,_xlfn.XLOOKUP(G33,tblValutazioni[TipoValutazione],tblValutazioni[BE],""),IF(_xlpm.v="","",_xlpm.v))</f>
        <v/>
      </c>
      <c r="L33" s="18">
        <f>IF(_xlfn.XLOOKUP($A33, tblRisposte[ItemKey], tblRisposte[Valore], "")="Bene","X",0)</f>
        <v>0</v>
      </c>
      <c r="M33" s="1">
        <f t="shared" si="2"/>
        <v>0</v>
      </c>
      <c r="N33" t="str" cm="1">
        <f t="array" ref="N33">_xlfn.LET(_xlpm.v,_xlfn.XLOOKUP(G33,tblValutazioni[TipoValutazione],tblValutazioni[SU],""),IF(_xlpm.v="","",_xlpm.v))</f>
        <v/>
      </c>
      <c r="O33" s="18">
        <f>IF(_xlfn.XLOOKUP($A33, tblRisposte[ItemKey], tblRisposte[Valore], "")="Soddisfacente","X",0)</f>
        <v>0</v>
      </c>
      <c r="P33" s="1">
        <f t="shared" si="3"/>
        <v>0</v>
      </c>
      <c r="Q33" t="str" cm="1">
        <f t="array" ref="Q33">_xlfn.LET(_xlpm.v,_xlfn.XLOOKUP(G33,tblValutazioni[TipoValutazione],tblValutazioni[IN],""),IF(_xlpm.v="","",_xlpm.v))</f>
        <v/>
      </c>
      <c r="R33" s="18">
        <f>IF(_xlfn.XLOOKUP($A33, tblRisposte[ItemKey], tblRisposte[Valore], "")="Insufficiente","X",0)</f>
        <v>0</v>
      </c>
      <c r="S33" s="1">
        <f t="shared" si="4"/>
        <v>0</v>
      </c>
      <c r="T33" t="str" cm="1">
        <f t="array" ref="T33">_xlfn.LET(_xlpm.v,_xlfn.XLOOKUP(G33,tblValutazioni[TipoValutazione],tblValutazioni[NE],""),IF(_xlpm.v="","",_xlpm.v))</f>
        <v/>
      </c>
      <c r="U33" s="18">
        <f>IF(_xlfn.XLOOKUP($A33, tblRisposte[ItemKey], tblRisposte[Valore], "")="Non eseguito","X",0)</f>
        <v>0</v>
      </c>
      <c r="V33" s="1">
        <f t="shared" si="5"/>
        <v>0</v>
      </c>
      <c r="W33">
        <f t="shared" si="6"/>
        <v>0</v>
      </c>
      <c r="X33" t="str">
        <f>IF(COUNTIF(I33:U33,"X")=1,"OK","errore")</f>
        <v>errore</v>
      </c>
      <c r="Y33" t="str">
        <f>IF(D33="SEP",IF(I33="x",H33,IF(L33="X",K33,IF(O33="x",N33,IF(R33="X",Q33,IF(U33="X",T33,""))))),"")</f>
        <v/>
      </c>
    </row>
    <row r="34" spans="1:25" ht="15" customHeight="1">
      <c r="A34" t="str">
        <f>IF(G34&lt;&gt;"",ScenaAttiva&amp;"_"&amp;AB$4&amp;TEXT(COUNTIF($G$3:G34,"&lt;&gt;"),"0000"),"")</f>
        <v/>
      </c>
      <c r="B34" t="str">
        <f>IF(A34&lt;&gt;"",SquadraAttiva,"")</f>
        <v/>
      </c>
      <c r="C34" t="str">
        <f t="shared" si="7"/>
        <v/>
      </c>
      <c r="D34" t="str">
        <f>IFERROR(_xlfn.XLOOKUP(C34,tblRisposte[idValutazione],tblRisposte[Valore],""),"")</f>
        <v/>
      </c>
      <c r="F34" t="s">
        <v>740</v>
      </c>
      <c r="H34" t="str" cm="1">
        <f t="array" ref="H34">_xlfn.LET(_xlpm.v,_xlfn.XLOOKUP(G34,tblValutazioni[TipoValutazione],tblValutazioni[MB],""),IF(_xlpm.v="","",_xlpm.v))</f>
        <v/>
      </c>
      <c r="I34" s="18">
        <f>IF(_xlfn.XLOOKUP($A34, tblRisposte[ItemKey],tblRisposte[Valore],"")="Molto bene","X",0)</f>
        <v>0</v>
      </c>
      <c r="J34" s="1">
        <f t="shared" si="1"/>
        <v>0</v>
      </c>
      <c r="K34" t="str" cm="1">
        <f t="array" ref="K34">_xlfn.LET(_xlpm.v,_xlfn.XLOOKUP(G34,tblValutazioni[TipoValutazione],tblValutazioni[BE],""),IF(_xlpm.v="","",_xlpm.v))</f>
        <v/>
      </c>
      <c r="L34" s="18">
        <f>IF(_xlfn.XLOOKUP($A34, tblRisposte[ItemKey], tblRisposte[Valore], "")="Bene","X",0)</f>
        <v>0</v>
      </c>
      <c r="M34" s="1">
        <f t="shared" si="2"/>
        <v>0</v>
      </c>
      <c r="N34" t="str" cm="1">
        <f t="array" ref="N34">_xlfn.LET(_xlpm.v,_xlfn.XLOOKUP(G34,tblValutazioni[TipoValutazione],tblValutazioni[SU],""),IF(_xlpm.v="","",_xlpm.v))</f>
        <v/>
      </c>
      <c r="O34" s="18">
        <f>IF(_xlfn.XLOOKUP($A34, tblRisposte[ItemKey], tblRisposte[Valore], "")="Soddisfacente","X",0)</f>
        <v>0</v>
      </c>
      <c r="P34" s="1">
        <f t="shared" si="3"/>
        <v>0</v>
      </c>
      <c r="Q34" t="str" cm="1">
        <f t="array" ref="Q34">_xlfn.LET(_xlpm.v,_xlfn.XLOOKUP(G34,tblValutazioni[TipoValutazione],tblValutazioni[IN],""),IF(_xlpm.v="","",_xlpm.v))</f>
        <v/>
      </c>
      <c r="R34" s="18">
        <f>IF(_xlfn.XLOOKUP($A34, tblRisposte[ItemKey], tblRisposte[Valore], "")="Insufficiente","X",0)</f>
        <v>0</v>
      </c>
      <c r="S34" s="1">
        <f t="shared" si="4"/>
        <v>0</v>
      </c>
      <c r="T34" t="str" cm="1">
        <f t="array" ref="T34">_xlfn.LET(_xlpm.v,_xlfn.XLOOKUP(G34,tblValutazioni[TipoValutazione],tblValutazioni[NE],""),IF(_xlpm.v="","",_xlpm.v))</f>
        <v/>
      </c>
      <c r="U34" s="18">
        <f>IF(_xlfn.XLOOKUP($A34, tblRisposte[ItemKey], tblRisposte[Valore], "")="Non eseguito","X",0)</f>
        <v>0</v>
      </c>
      <c r="V34" s="1">
        <f t="shared" si="5"/>
        <v>0</v>
      </c>
      <c r="W34">
        <f t="shared" si="6"/>
        <v>0</v>
      </c>
      <c r="X34" t="str">
        <f>IF(COUNTIF(I34:U34,"X")=1,"OK","errore")</f>
        <v>errore</v>
      </c>
      <c r="Y34" t="str">
        <f>IF(D34="SEP",IF(I34="x",H34,IF(L34="X",K34,IF(O34="x",N34,IF(R34="X",Q34,IF(U34="X",T34,""))))),"")</f>
        <v/>
      </c>
    </row>
    <row r="35" spans="1:25" ht="15" customHeight="1">
      <c r="A35" t="str">
        <f>IF(G35&lt;&gt;"",ScenaAttiva&amp;"_"&amp;AB$4&amp;TEXT(COUNTIF($G$3:G35,"&lt;&gt;"),"0000"),"")</f>
        <v/>
      </c>
      <c r="B35" t="str">
        <f>IF(A35&lt;&gt;"",SquadraAttiva,"")</f>
        <v/>
      </c>
      <c r="C35" t="str">
        <f t="shared" si="7"/>
        <v/>
      </c>
      <c r="D35" t="str">
        <f>IFERROR(_xlfn.XLOOKUP(C35,tblRisposte[idValutazione],tblRisposte[Valore],""),"")</f>
        <v/>
      </c>
      <c r="F35" t="s">
        <v>741</v>
      </c>
      <c r="H35" t="str" cm="1">
        <f t="array" ref="H35">_xlfn.LET(_xlpm.v,_xlfn.XLOOKUP(G35,tblValutazioni[TipoValutazione],tblValutazioni[MB],""),IF(_xlpm.v="","",_xlpm.v))</f>
        <v/>
      </c>
      <c r="I35" s="18">
        <f>IF(_xlfn.XLOOKUP($A35, tblRisposte[ItemKey],tblRisposte[Valore],"")="Molto bene","X",0)</f>
        <v>0</v>
      </c>
      <c r="J35" s="1">
        <f t="shared" si="1"/>
        <v>0</v>
      </c>
      <c r="K35" t="str" cm="1">
        <f t="array" ref="K35">_xlfn.LET(_xlpm.v,_xlfn.XLOOKUP(G35,tblValutazioni[TipoValutazione],tblValutazioni[BE],""),IF(_xlpm.v="","",_xlpm.v))</f>
        <v/>
      </c>
      <c r="L35" s="18">
        <f>IF(_xlfn.XLOOKUP($A35, tblRisposte[ItemKey], tblRisposte[Valore], "")="Bene","X",0)</f>
        <v>0</v>
      </c>
      <c r="M35" s="1">
        <f t="shared" si="2"/>
        <v>0</v>
      </c>
      <c r="N35" t="str" cm="1">
        <f t="array" ref="N35">_xlfn.LET(_xlpm.v,_xlfn.XLOOKUP(G35,tblValutazioni[TipoValutazione],tblValutazioni[SU],""),IF(_xlpm.v="","",_xlpm.v))</f>
        <v/>
      </c>
      <c r="O35" s="18">
        <f>IF(_xlfn.XLOOKUP($A35, tblRisposte[ItemKey], tblRisposte[Valore], "")="Soddisfacente","X",0)</f>
        <v>0</v>
      </c>
      <c r="P35" s="1">
        <f t="shared" si="3"/>
        <v>0</v>
      </c>
      <c r="Q35" t="str" cm="1">
        <f t="array" ref="Q35">_xlfn.LET(_xlpm.v,_xlfn.XLOOKUP(G35,tblValutazioni[TipoValutazione],tblValutazioni[IN],""),IF(_xlpm.v="","",_xlpm.v))</f>
        <v/>
      </c>
      <c r="R35" s="18">
        <f>IF(_xlfn.XLOOKUP($A35, tblRisposte[ItemKey], tblRisposte[Valore], "")="Insufficiente","X",0)</f>
        <v>0</v>
      </c>
      <c r="S35" s="1">
        <f t="shared" si="4"/>
        <v>0</v>
      </c>
      <c r="T35" t="str" cm="1">
        <f t="array" ref="T35">_xlfn.LET(_xlpm.v,_xlfn.XLOOKUP(G35,tblValutazioni[TipoValutazione],tblValutazioni[NE],""),IF(_xlpm.v="","",_xlpm.v))</f>
        <v/>
      </c>
      <c r="U35" s="18">
        <f>IF(_xlfn.XLOOKUP($A35, tblRisposte[ItemKey], tblRisposte[Valore], "")="Non eseguito","X",0)</f>
        <v>0</v>
      </c>
      <c r="V35" s="1">
        <f t="shared" si="5"/>
        <v>0</v>
      </c>
      <c r="W35">
        <f t="shared" si="6"/>
        <v>0</v>
      </c>
      <c r="X35" t="str">
        <f>IF(COUNTIF(I35:U35,"X")=1,"OK","errore")</f>
        <v>errore</v>
      </c>
      <c r="Y35" t="str">
        <f>IF(D35="SEP",IF(I35="x",H35,IF(L35="X",K35,IF(O35="x",N35,IF(R35="X",Q35,IF(U35="X",T35,""))))),"")</f>
        <v/>
      </c>
    </row>
    <row r="36" spans="1:25" ht="15" customHeight="1">
      <c r="A36" t="str">
        <f>IF(G36&lt;&gt;"",ScenaAttiva&amp;"_"&amp;AB$4&amp;TEXT(COUNTIF($G$3:G36,"&lt;&gt;"),"0000"),"")</f>
        <v/>
      </c>
      <c r="B36" t="str">
        <f>IF(A36&lt;&gt;"",SquadraAttiva,"")</f>
        <v/>
      </c>
      <c r="C36" t="str">
        <f t="shared" si="7"/>
        <v/>
      </c>
      <c r="D36" t="str">
        <f>IFERROR(_xlfn.XLOOKUP(C36,tblRisposte[idValutazione],tblRisposte[Valore],""),"")</f>
        <v/>
      </c>
      <c r="F36" t="s">
        <v>741</v>
      </c>
      <c r="H36" t="str" cm="1">
        <f t="array" ref="H36">_xlfn.LET(_xlpm.v,_xlfn.XLOOKUP(G36,tblValutazioni[TipoValutazione],tblValutazioni[MB],""),IF(_xlpm.v="","",_xlpm.v))</f>
        <v/>
      </c>
      <c r="I36" s="18">
        <f>IF(_xlfn.XLOOKUP($A36, tblRisposte[ItemKey],tblRisposte[Valore],"")="Molto bene","X",0)</f>
        <v>0</v>
      </c>
      <c r="J36" s="1">
        <f t="shared" si="1"/>
        <v>0</v>
      </c>
      <c r="K36" t="str" cm="1">
        <f t="array" ref="K36">_xlfn.LET(_xlpm.v,_xlfn.XLOOKUP(G36,tblValutazioni[TipoValutazione],tblValutazioni[BE],""),IF(_xlpm.v="","",_xlpm.v))</f>
        <v/>
      </c>
      <c r="L36" s="18">
        <f>IF(_xlfn.XLOOKUP($A36, tblRisposte[ItemKey], tblRisposte[Valore], "")="Bene","X",0)</f>
        <v>0</v>
      </c>
      <c r="M36" s="1">
        <f t="shared" si="2"/>
        <v>0</v>
      </c>
      <c r="N36" t="str" cm="1">
        <f t="array" ref="N36">_xlfn.LET(_xlpm.v,_xlfn.XLOOKUP(G36,tblValutazioni[TipoValutazione],tblValutazioni[SU],""),IF(_xlpm.v="","",_xlpm.v))</f>
        <v/>
      </c>
      <c r="O36" s="18">
        <f>IF(_xlfn.XLOOKUP($A36, tblRisposte[ItemKey], tblRisposte[Valore], "")="Soddisfacente","X",0)</f>
        <v>0</v>
      </c>
      <c r="P36" s="1">
        <f t="shared" si="3"/>
        <v>0</v>
      </c>
      <c r="Q36" t="str" cm="1">
        <f t="array" ref="Q36">_xlfn.LET(_xlpm.v,_xlfn.XLOOKUP(G36,tblValutazioni[TipoValutazione],tblValutazioni[IN],""),IF(_xlpm.v="","",_xlpm.v))</f>
        <v/>
      </c>
      <c r="R36" s="18">
        <f>IF(_xlfn.XLOOKUP($A36, tblRisposte[ItemKey], tblRisposte[Valore], "")="Insufficiente","X",0)</f>
        <v>0</v>
      </c>
      <c r="S36" s="1">
        <f t="shared" si="4"/>
        <v>0</v>
      </c>
      <c r="T36" t="str" cm="1">
        <f t="array" ref="T36">_xlfn.LET(_xlpm.v,_xlfn.XLOOKUP(G36,tblValutazioni[TipoValutazione],tblValutazioni[NE],""),IF(_xlpm.v="","",_xlpm.v))</f>
        <v/>
      </c>
      <c r="U36" s="18">
        <f>IF(_xlfn.XLOOKUP($A36, tblRisposte[ItemKey], tblRisposte[Valore], "")="Non eseguito","X",0)</f>
        <v>0</v>
      </c>
      <c r="V36" s="1">
        <f t="shared" si="5"/>
        <v>0</v>
      </c>
      <c r="W36">
        <f t="shared" si="6"/>
        <v>0</v>
      </c>
      <c r="X36" t="str">
        <f>IF(COUNTIF(I36:U36,"X")=1,"OK","errore")</f>
        <v>errore</v>
      </c>
      <c r="Y36" t="str">
        <f>IF(D36="SEP",IF(I36="x",H36,IF(L36="X",K36,IF(O36="x",N36,IF(R36="X",Q36,IF(U36="X",T36,""))))),"")</f>
        <v/>
      </c>
    </row>
    <row r="37" spans="1:25" ht="15" customHeight="1">
      <c r="A37" t="str">
        <f>IF(G37&lt;&gt;"",ScenaAttiva&amp;"_"&amp;AB$4&amp;TEXT(COUNTIF($G$3:G37,"&lt;&gt;"),"0000"),"")</f>
        <v/>
      </c>
      <c r="B37" t="str">
        <f>IF(A37&lt;&gt;"",SquadraAttiva,"")</f>
        <v/>
      </c>
      <c r="C37" t="str">
        <f t="shared" si="7"/>
        <v/>
      </c>
      <c r="D37" t="str">
        <f>IFERROR(_xlfn.XLOOKUP(C37,tblRisposte[idValutazione],tblRisposte[Valore],""),"")</f>
        <v/>
      </c>
      <c r="F37" t="s">
        <v>722</v>
      </c>
      <c r="H37" t="str" cm="1">
        <f t="array" ref="H37">_xlfn.LET(_xlpm.v,_xlfn.XLOOKUP(G37,tblValutazioni[TipoValutazione],tblValutazioni[MB],""),IF(_xlpm.v="","",_xlpm.v))</f>
        <v/>
      </c>
      <c r="I37" s="18">
        <f>IF(_xlfn.XLOOKUP($A37, tblRisposte[ItemKey],tblRisposte[Valore],"")="Molto bene","X",0)</f>
        <v>0</v>
      </c>
      <c r="J37" s="1">
        <f t="shared" si="1"/>
        <v>0</v>
      </c>
      <c r="K37" t="str" cm="1">
        <f t="array" ref="K37">_xlfn.LET(_xlpm.v,_xlfn.XLOOKUP(G37,tblValutazioni[TipoValutazione],tblValutazioni[BE],""),IF(_xlpm.v="","",_xlpm.v))</f>
        <v/>
      </c>
      <c r="L37" s="18">
        <f>IF(_xlfn.XLOOKUP($A37, tblRisposte[ItemKey], tblRisposte[Valore], "")="Bene","X",0)</f>
        <v>0</v>
      </c>
      <c r="M37" s="1">
        <f t="shared" si="2"/>
        <v>0</v>
      </c>
      <c r="N37" t="str" cm="1">
        <f t="array" ref="N37">_xlfn.LET(_xlpm.v,_xlfn.XLOOKUP(G37,tblValutazioni[TipoValutazione],tblValutazioni[SU],""),IF(_xlpm.v="","",_xlpm.v))</f>
        <v/>
      </c>
      <c r="O37" s="18">
        <f>IF(_xlfn.XLOOKUP($A37, tblRisposte[ItemKey], tblRisposte[Valore], "")="Soddisfacente","X",0)</f>
        <v>0</v>
      </c>
      <c r="P37" s="1">
        <f t="shared" si="3"/>
        <v>0</v>
      </c>
      <c r="Q37" t="str" cm="1">
        <f t="array" ref="Q37">_xlfn.LET(_xlpm.v,_xlfn.XLOOKUP(G37,tblValutazioni[TipoValutazione],tblValutazioni[IN],""),IF(_xlpm.v="","",_xlpm.v))</f>
        <v/>
      </c>
      <c r="R37" s="18">
        <f>IF(_xlfn.XLOOKUP($A37, tblRisposte[ItemKey], tblRisposte[Valore], "")="Insufficiente","X",0)</f>
        <v>0</v>
      </c>
      <c r="S37" s="1">
        <f t="shared" si="4"/>
        <v>0</v>
      </c>
      <c r="T37" t="str" cm="1">
        <f t="array" ref="T37">_xlfn.LET(_xlpm.v,_xlfn.XLOOKUP(G37,tblValutazioni[TipoValutazione],tblValutazioni[NE],""),IF(_xlpm.v="","",_xlpm.v))</f>
        <v/>
      </c>
      <c r="U37" s="18">
        <f>IF(_xlfn.XLOOKUP($A37, tblRisposte[ItemKey], tblRisposte[Valore], "")="Non eseguito","X",0)</f>
        <v>0</v>
      </c>
      <c r="V37" s="1">
        <f t="shared" si="5"/>
        <v>0</v>
      </c>
      <c r="W37">
        <f t="shared" si="6"/>
        <v>0</v>
      </c>
      <c r="X37" t="str">
        <f>IF(COUNTIF(I37:U37,"X")=1,"OK","errore")</f>
        <v>errore</v>
      </c>
      <c r="Y37" t="str">
        <f>IF(D37="SEP",IF(I37="x",H37,IF(L37="X",K37,IF(O37="x",N37,IF(R37="X",Q37,IF(U37="X",T37,""))))),"")</f>
        <v/>
      </c>
    </row>
    <row r="38" spans="1:25" ht="15" customHeight="1">
      <c r="A38" t="str">
        <f>IF(G38&lt;&gt;"",ScenaAttiva&amp;"_"&amp;AB$4&amp;TEXT(COUNTIF($G$3:G38,"&lt;&gt;"),"0000"),"")</f>
        <v/>
      </c>
      <c r="B38" t="str">
        <f>IF(A38&lt;&gt;"",SquadraAttiva,"")</f>
        <v/>
      </c>
      <c r="C38" t="str">
        <f t="shared" si="7"/>
        <v/>
      </c>
      <c r="D38" t="str">
        <f>IFERROR(_xlfn.XLOOKUP(C38,tblRisposte[idValutazione],tblRisposte[Valore],""),"")</f>
        <v/>
      </c>
      <c r="F38" t="s">
        <v>723</v>
      </c>
      <c r="H38" t="str" cm="1">
        <f t="array" ref="H38">_xlfn.LET(_xlpm.v,_xlfn.XLOOKUP(G38,tblValutazioni[TipoValutazione],tblValutazioni[MB],""),IF(_xlpm.v="","",_xlpm.v))</f>
        <v/>
      </c>
      <c r="I38" s="18">
        <f>IF(_xlfn.XLOOKUP($A38, tblRisposte[ItemKey],tblRisposte[Valore],"")="Molto bene","X",0)</f>
        <v>0</v>
      </c>
      <c r="J38" s="1">
        <f t="shared" si="1"/>
        <v>0</v>
      </c>
      <c r="K38" t="str" cm="1">
        <f t="array" ref="K38">_xlfn.LET(_xlpm.v,_xlfn.XLOOKUP(G38,tblValutazioni[TipoValutazione],tblValutazioni[BE],""),IF(_xlpm.v="","",_xlpm.v))</f>
        <v/>
      </c>
      <c r="L38" s="18">
        <f>IF(_xlfn.XLOOKUP($A38, tblRisposte[ItemKey], tblRisposte[Valore], "")="Bene","X",0)</f>
        <v>0</v>
      </c>
      <c r="M38" s="1">
        <f t="shared" si="2"/>
        <v>0</v>
      </c>
      <c r="N38" t="str" cm="1">
        <f t="array" ref="N38">_xlfn.LET(_xlpm.v,_xlfn.XLOOKUP(G38,tblValutazioni[TipoValutazione],tblValutazioni[SU],""),IF(_xlpm.v="","",_xlpm.v))</f>
        <v/>
      </c>
      <c r="O38" s="18">
        <f>IF(_xlfn.XLOOKUP($A38, tblRisposte[ItemKey], tblRisposte[Valore], "")="Soddisfacente","X",0)</f>
        <v>0</v>
      </c>
      <c r="P38" s="1">
        <f t="shared" si="3"/>
        <v>0</v>
      </c>
      <c r="Q38" t="str" cm="1">
        <f t="array" ref="Q38">_xlfn.LET(_xlpm.v,_xlfn.XLOOKUP(G38,tblValutazioni[TipoValutazione],tblValutazioni[IN],""),IF(_xlpm.v="","",_xlpm.v))</f>
        <v/>
      </c>
      <c r="R38" s="18">
        <f>IF(_xlfn.XLOOKUP($A38, tblRisposte[ItemKey], tblRisposte[Valore], "")="Insufficiente","X",0)</f>
        <v>0</v>
      </c>
      <c r="S38" s="1">
        <f t="shared" si="4"/>
        <v>0</v>
      </c>
      <c r="T38" t="str" cm="1">
        <f t="array" ref="T38">_xlfn.LET(_xlpm.v,_xlfn.XLOOKUP(G38,tblValutazioni[TipoValutazione],tblValutazioni[NE],""),IF(_xlpm.v="","",_xlpm.v))</f>
        <v/>
      </c>
      <c r="U38" s="18">
        <f>IF(_xlfn.XLOOKUP($A38, tblRisposte[ItemKey], tblRisposte[Valore], "")="Non eseguito","X",0)</f>
        <v>0</v>
      </c>
      <c r="V38" s="1">
        <f t="shared" si="5"/>
        <v>0</v>
      </c>
      <c r="W38">
        <f t="shared" si="6"/>
        <v>0</v>
      </c>
      <c r="X38" t="str">
        <f>IF(COUNTIF(I38:U38,"X")=1,"OK","errore")</f>
        <v>errore</v>
      </c>
      <c r="Y38" t="str">
        <f>IF(D38="SEP",IF(I38="x",H38,IF(L38="X",K38,IF(O38="x",N38,IF(R38="X",Q38,IF(U38="X",T38,""))))),"")</f>
        <v/>
      </c>
    </row>
    <row r="39" spans="1:25" ht="15" customHeight="1">
      <c r="A39" t="str">
        <f>IF(G39&lt;&gt;"",ScenaAttiva&amp;"_"&amp;AB$4&amp;TEXT(COUNTIF($G$3:G39,"&lt;&gt;"),"0000"),"")</f>
        <v/>
      </c>
      <c r="B39" t="str">
        <f>IF(A39&lt;&gt;"",SquadraAttiva,"")</f>
        <v/>
      </c>
      <c r="C39" t="str">
        <f t="shared" si="7"/>
        <v/>
      </c>
      <c r="D39" t="str">
        <f>IFERROR(_xlfn.XLOOKUP(C39,tblRisposte[idValutazione],tblRisposte[Valore],""),"")</f>
        <v/>
      </c>
      <c r="F39" t="s">
        <v>748</v>
      </c>
      <c r="H39" t="str" cm="1">
        <f t="array" ref="H39">_xlfn.LET(_xlpm.v,_xlfn.XLOOKUP(G39,tblValutazioni[TipoValutazione],tblValutazioni[MB],""),IF(_xlpm.v="","",_xlpm.v))</f>
        <v/>
      </c>
      <c r="I39" s="18">
        <f>IF(_xlfn.XLOOKUP($A39, tblRisposte[ItemKey],tblRisposte[Valore],"")="Molto bene","X",0)</f>
        <v>0</v>
      </c>
      <c r="J39" s="1">
        <f t="shared" si="1"/>
        <v>0</v>
      </c>
      <c r="K39" t="str" cm="1">
        <f t="array" ref="K39">_xlfn.LET(_xlpm.v,_xlfn.XLOOKUP(G39,tblValutazioni[TipoValutazione],tblValutazioni[BE],""),IF(_xlpm.v="","",_xlpm.v))</f>
        <v/>
      </c>
      <c r="L39" s="18">
        <f>IF(_xlfn.XLOOKUP($A39, tblRisposte[ItemKey], tblRisposte[Valore], "")="Bene","X",0)</f>
        <v>0</v>
      </c>
      <c r="M39" s="1">
        <f t="shared" si="2"/>
        <v>0</v>
      </c>
      <c r="N39" t="str" cm="1">
        <f t="array" ref="N39">_xlfn.LET(_xlpm.v,_xlfn.XLOOKUP(G39,tblValutazioni[TipoValutazione],tblValutazioni[SU],""),IF(_xlpm.v="","",_xlpm.v))</f>
        <v/>
      </c>
      <c r="O39" s="18">
        <f>IF(_xlfn.XLOOKUP($A39, tblRisposte[ItemKey], tblRisposte[Valore], "")="Soddisfacente","X",0)</f>
        <v>0</v>
      </c>
      <c r="P39" s="1">
        <f t="shared" si="3"/>
        <v>0</v>
      </c>
      <c r="Q39" t="str" cm="1">
        <f t="array" ref="Q39">_xlfn.LET(_xlpm.v,_xlfn.XLOOKUP(G39,tblValutazioni[TipoValutazione],tblValutazioni[IN],""),IF(_xlpm.v="","",_xlpm.v))</f>
        <v/>
      </c>
      <c r="R39" s="18">
        <f>IF(_xlfn.XLOOKUP($A39, tblRisposte[ItemKey], tblRisposte[Valore], "")="Insufficiente","X",0)</f>
        <v>0</v>
      </c>
      <c r="S39" s="1">
        <f t="shared" si="4"/>
        <v>0</v>
      </c>
      <c r="T39" t="str" cm="1">
        <f t="array" ref="T39">_xlfn.LET(_xlpm.v,_xlfn.XLOOKUP(G39,tblValutazioni[TipoValutazione],tblValutazioni[NE],""),IF(_xlpm.v="","",_xlpm.v))</f>
        <v/>
      </c>
      <c r="U39" s="18">
        <f>IF(_xlfn.XLOOKUP($A39, tblRisposte[ItemKey], tblRisposte[Valore], "")="Non eseguito","X",0)</f>
        <v>0</v>
      </c>
      <c r="V39" s="1">
        <f t="shared" si="5"/>
        <v>0</v>
      </c>
      <c r="W39">
        <f t="shared" si="6"/>
        <v>0</v>
      </c>
      <c r="X39" t="str">
        <f>IF(COUNTIF(I39:U39,"X")=1,"OK","errore")</f>
        <v>errore</v>
      </c>
      <c r="Y39" t="str">
        <f>IF(D39="SEP",IF(I39="x",H39,IF(L39="X",K39,IF(O39="x",N39,IF(R39="X",Q39,IF(U39="X",T39,""))))),"")</f>
        <v/>
      </c>
    </row>
    <row r="40" spans="1:25">
      <c r="A40" t="str">
        <f>IF(G40&lt;&gt;"",ScenaAttiva&amp;"_"&amp;AB$4&amp;TEXT(COUNTIF($G$3:G40,"&lt;&gt;"),"0000"),"")</f>
        <v/>
      </c>
      <c r="B40" t="str">
        <f>IF(A40&lt;&gt;"",SquadraAttiva,"")</f>
        <v/>
      </c>
      <c r="C40" t="str">
        <f t="shared" si="7"/>
        <v/>
      </c>
      <c r="D40" t="str">
        <f>IFERROR(_xlfn.XLOOKUP(C40,tblRisposte[idValutazione],tblRisposte[Valore],""),"")</f>
        <v/>
      </c>
      <c r="F40" t="s">
        <v>724</v>
      </c>
      <c r="H40" t="str" cm="1">
        <f t="array" ref="H40">_xlfn.LET(_xlpm.v,_xlfn.XLOOKUP(G40,tblValutazioni[TipoValutazione],tblValutazioni[MB],""),IF(_xlpm.v="","",_xlpm.v))</f>
        <v/>
      </c>
      <c r="I40" s="18">
        <f>IF(_xlfn.XLOOKUP($A40, tblRisposte[ItemKey],tblRisposte[Valore],"")="Molto bene","X",0)</f>
        <v>0</v>
      </c>
      <c r="J40" s="1">
        <f t="shared" si="1"/>
        <v>0</v>
      </c>
      <c r="K40" t="str" cm="1">
        <f t="array" ref="K40">_xlfn.LET(_xlpm.v,_xlfn.XLOOKUP(G40,tblValutazioni[TipoValutazione],tblValutazioni[BE],""),IF(_xlpm.v="","",_xlpm.v))</f>
        <v/>
      </c>
      <c r="L40" s="18">
        <f>IF(_xlfn.XLOOKUP($A40, tblRisposte[ItemKey], tblRisposte[Valore], "")="Bene","X",0)</f>
        <v>0</v>
      </c>
      <c r="M40" s="1">
        <f t="shared" si="2"/>
        <v>0</v>
      </c>
      <c r="N40" t="str" cm="1">
        <f t="array" ref="N40">_xlfn.LET(_xlpm.v,_xlfn.XLOOKUP(G40,tblValutazioni[TipoValutazione],tblValutazioni[SU],""),IF(_xlpm.v="","",_xlpm.v))</f>
        <v/>
      </c>
      <c r="O40" s="18">
        <f>IF(_xlfn.XLOOKUP($A40, tblRisposte[ItemKey], tblRisposte[Valore], "")="Soddisfacente","X",0)</f>
        <v>0</v>
      </c>
      <c r="P40" s="1">
        <f t="shared" si="3"/>
        <v>0</v>
      </c>
      <c r="Q40" t="str" cm="1">
        <f t="array" ref="Q40">_xlfn.LET(_xlpm.v,_xlfn.XLOOKUP(G40,tblValutazioni[TipoValutazione],tblValutazioni[IN],""),IF(_xlpm.v="","",_xlpm.v))</f>
        <v/>
      </c>
      <c r="R40" s="18">
        <f>IF(_xlfn.XLOOKUP($A40, tblRisposte[ItemKey], tblRisposte[Valore], "")="Insufficiente","X",0)</f>
        <v>0</v>
      </c>
      <c r="S40" s="1">
        <f t="shared" si="4"/>
        <v>0</v>
      </c>
      <c r="T40" t="str" cm="1">
        <f t="array" ref="T40">_xlfn.LET(_xlpm.v,_xlfn.XLOOKUP(G40,tblValutazioni[TipoValutazione],tblValutazioni[NE],""),IF(_xlpm.v="","",_xlpm.v))</f>
        <v/>
      </c>
      <c r="U40" s="18">
        <f>IF(_xlfn.XLOOKUP($A40, tblRisposte[ItemKey], tblRisposte[Valore], "")="Non eseguito","X",0)</f>
        <v>0</v>
      </c>
      <c r="V40" s="1">
        <f t="shared" si="5"/>
        <v>0</v>
      </c>
      <c r="W40">
        <f t="shared" si="6"/>
        <v>0</v>
      </c>
      <c r="X40" t="str">
        <f>IF(COUNTIF(I40:U40,"X")=1,"OK","errore")</f>
        <v>errore</v>
      </c>
      <c r="Y40" t="str">
        <f>IF(D40="SEP",IF(I40="x",H40,IF(L40="X",K40,IF(O40="x",N40,IF(R40="X",Q40,IF(U40="X",T40,""))))),"")</f>
        <v/>
      </c>
    </row>
    <row r="41" spans="1:25">
      <c r="A41" s="23"/>
      <c r="B41" s="23"/>
      <c r="C41" s="23"/>
      <c r="D41" s="23"/>
      <c r="E41" s="23"/>
      <c r="F41" s="23" t="s">
        <v>728</v>
      </c>
      <c r="G41" s="23"/>
      <c r="H41" s="23"/>
      <c r="I41" s="23">
        <f>SUM(J2:J40)</f>
        <v>0</v>
      </c>
      <c r="J41" s="23"/>
      <c r="K41" s="24"/>
      <c r="L41" s="23">
        <f>SUM(M2:M40)</f>
        <v>0</v>
      </c>
      <c r="M41" s="23"/>
      <c r="N41" s="24"/>
      <c r="O41" s="23">
        <f>SUM(P2:P40)</f>
        <v>0</v>
      </c>
      <c r="P41" s="23"/>
      <c r="Q41" s="24"/>
      <c r="R41" s="23">
        <f>SUM(S2:S40)</f>
        <v>0</v>
      </c>
      <c r="S41" s="23"/>
      <c r="T41" s="24"/>
      <c r="U41" s="23">
        <f>SUM(V2:V40)</f>
        <v>0</v>
      </c>
      <c r="V41" s="23"/>
      <c r="W41" s="23"/>
      <c r="X41" s="23"/>
    </row>
    <row r="42" spans="1:25">
      <c r="A42" s="23"/>
      <c r="B42" s="23"/>
      <c r="C42" s="23"/>
      <c r="D42" s="23"/>
      <c r="E42" s="23"/>
      <c r="F42" s="25" t="s">
        <v>728</v>
      </c>
      <c r="G42" s="25"/>
      <c r="H42" s="25"/>
      <c r="I42" s="25"/>
      <c r="J42" s="25">
        <f>I41+L41+O41+R41+U41</f>
        <v>0</v>
      </c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</row>
    <row r="43" spans="1:25">
      <c r="A43" s="23"/>
      <c r="B43" s="23"/>
      <c r="C43" s="23"/>
      <c r="D43" s="23"/>
      <c r="E43" s="23"/>
      <c r="F43" s="25" t="s">
        <v>653</v>
      </c>
      <c r="G43" s="23"/>
      <c r="H43" s="23"/>
      <c r="I43" s="23"/>
      <c r="J43" s="23">
        <f>SUM(Y2:Y39)</f>
        <v>0</v>
      </c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</row>
  </sheetData>
  <mergeCells count="5">
    <mergeCell ref="K1:M1"/>
    <mergeCell ref="Q1:S1"/>
    <mergeCell ref="T1:V1"/>
    <mergeCell ref="H1:J1"/>
    <mergeCell ref="N1:P1"/>
  </mergeCells>
  <conditionalFormatting sqref="X2">
    <cfRule type="containsText" dxfId="32" priority="5" operator="containsText" text="OK">
      <formula>NOT(ISERROR(SEARCH("OK",X2)))</formula>
    </cfRule>
    <cfRule type="containsText" dxfId="31" priority="6" operator="containsText" text="errore">
      <formula>NOT(ISERROR(SEARCH("errore",X2)))</formula>
    </cfRule>
  </conditionalFormatting>
  <conditionalFormatting sqref="X3:X40">
    <cfRule type="containsText" dxfId="30" priority="1" operator="containsText" text="OK">
      <formula>NOT(ISERROR(SEARCH("OK",X3)))</formula>
    </cfRule>
    <cfRule type="containsText" dxfId="29" priority="2" operator="containsText" text="errore">
      <formula>NOT(ISERROR(SEARCH("errore",X3)))</formula>
    </cfRule>
  </conditionalFormatting>
  <dataValidations count="1">
    <dataValidation type="list" allowBlank="1" showInputMessage="1" showErrorMessage="1" sqref="G3:G40" xr:uid="{118F75D2-CE4A-4A3F-88AB-BC3E3224239A}">
      <formula1>lstTipoValutazione</formula1>
    </dataValidation>
  </dataValidation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43"/>
  <sheetViews>
    <sheetView workbookViewId="0">
      <selection activeCell="E24" sqref="E24:E25"/>
    </sheetView>
  </sheetViews>
  <sheetFormatPr defaultColWidth="8.85546875" defaultRowHeight="15" customHeight="1" outlineLevelCol="1"/>
  <cols>
    <col min="1" max="1" width="11.140625" bestFit="1" customWidth="1"/>
    <col min="6" max="6" width="62.42578125" customWidth="1"/>
    <col min="7" max="7" width="15.7109375" customWidth="1"/>
    <col min="8" max="8" width="4.42578125" customWidth="1" outlineLevel="1"/>
    <col min="9" max="10" width="4.42578125" customWidth="1"/>
    <col min="11" max="11" width="4.42578125" customWidth="1" outlineLevel="1"/>
    <col min="12" max="13" width="4.42578125" customWidth="1"/>
    <col min="14" max="14" width="4.42578125" customWidth="1" outlineLevel="1"/>
    <col min="15" max="16" width="4.42578125" customWidth="1"/>
    <col min="17" max="17" width="4.42578125" customWidth="1" outlineLevel="1"/>
    <col min="18" max="19" width="4.42578125" customWidth="1"/>
    <col min="20" max="20" width="4.42578125" customWidth="1" outlineLevel="1"/>
    <col min="21" max="22" width="4.42578125" customWidth="1"/>
    <col min="23" max="23" width="8.85546875" customWidth="1" outlineLevel="1"/>
    <col min="26" max="26" width="12.42578125" customWidth="1"/>
    <col min="27" max="27" width="9.42578125" bestFit="1" customWidth="1"/>
    <col min="28" max="28" width="12.42578125" customWidth="1"/>
    <col min="29" max="29" width="9.42578125" bestFit="1" customWidth="1"/>
    <col min="30" max="30" width="12.42578125" customWidth="1"/>
  </cols>
  <sheetData>
    <row r="1" spans="1:31" thickBot="1">
      <c r="B1" t="s">
        <v>705</v>
      </c>
      <c r="C1" t="s">
        <v>706</v>
      </c>
      <c r="D1" t="s">
        <v>707</v>
      </c>
      <c r="E1" t="s">
        <v>653</v>
      </c>
      <c r="H1" s="127" t="s">
        <v>709</v>
      </c>
      <c r="I1" s="144"/>
      <c r="J1" s="145"/>
      <c r="K1" s="126" t="s">
        <v>710</v>
      </c>
      <c r="L1" s="144"/>
      <c r="M1" s="145"/>
      <c r="N1" s="126" t="s">
        <v>711</v>
      </c>
      <c r="O1" s="144"/>
      <c r="P1" s="145"/>
      <c r="Q1" s="126" t="s">
        <v>712</v>
      </c>
      <c r="R1" s="144"/>
      <c r="S1" s="145"/>
      <c r="T1" s="126" t="s">
        <v>713</v>
      </c>
      <c r="U1" s="144"/>
      <c r="V1" s="145"/>
      <c r="Y1" t="s">
        <v>653</v>
      </c>
    </row>
    <row r="2" spans="1:31" ht="15" customHeight="1">
      <c r="A2" t="str">
        <f>IF(G2&lt;&gt;"",ScenaAttiva&amp;"_"&amp;AB$4&amp;TEXT(COUNTIF($G2:G$3,"&lt;&gt;"),"0000"),"")</f>
        <v/>
      </c>
      <c r="B2" t="str">
        <f>IF(A2&lt;&gt;"",SquadraAttiva,"")</f>
        <v/>
      </c>
      <c r="C2" t="str">
        <f>IF(A2&lt;&gt;"",TEXT(B2,"0")&amp;"-"&amp;TRIM(A2),"")</f>
        <v/>
      </c>
      <c r="D2" t="str">
        <f>IFERROR(_xlfn.XLOOKUP(C2,tblRisposte[idValutazione],tblRisposte[Valore],""),"")</f>
        <v/>
      </c>
      <c r="F2" s="26" t="s">
        <v>117</v>
      </c>
      <c r="G2" s="26"/>
      <c r="H2" s="26"/>
      <c r="I2" s="27"/>
      <c r="J2" s="28"/>
      <c r="K2" s="29"/>
      <c r="L2" s="27"/>
      <c r="M2" s="28"/>
      <c r="N2" s="29"/>
      <c r="O2" s="27"/>
      <c r="P2" s="28"/>
      <c r="Q2" s="29"/>
      <c r="R2" s="27"/>
      <c r="S2" s="28"/>
      <c r="T2" s="29"/>
      <c r="U2" s="27"/>
      <c r="V2" s="28"/>
      <c r="Z2" s="4" t="s">
        <v>715</v>
      </c>
      <c r="AA2" s="5" t="s">
        <v>749</v>
      </c>
      <c r="AB2" s="5" t="s">
        <v>278</v>
      </c>
      <c r="AC2" s="5">
        <v>1</v>
      </c>
      <c r="AD2" s="5" t="s">
        <v>661</v>
      </c>
      <c r="AE2" s="6">
        <v>1</v>
      </c>
    </row>
    <row r="3" spans="1:31" ht="15" customHeight="1">
      <c r="A3" t="str">
        <f>IF(G3&lt;&gt;"",ScenaAttiva&amp;"_"&amp;AB$4&amp;TEXT(COUNTIF($G3:G$3,"&lt;&gt;"),"0000"),"")</f>
        <v>A_ASM0001</v>
      </c>
      <c r="B3">
        <f>IF(A3&lt;&gt;"",SquadraAttiva,"")</f>
        <v>3</v>
      </c>
      <c r="C3" t="str">
        <f t="shared" ref="C3:C33" si="0">IF(A3&lt;&gt;"",TEXT(B3,"0")&amp;"-"&amp;TRIM(A3),"")</f>
        <v>3-A_ASM0001</v>
      </c>
      <c r="D3">
        <f>IFERROR(_xlfn.XLOOKUP(C3,tblRisposte[idValutazione],tblRisposte[Valore],""),"")</f>
        <v>0</v>
      </c>
      <c r="F3" s="78" t="s">
        <v>167</v>
      </c>
      <c r="G3" t="s">
        <v>36</v>
      </c>
      <c r="H3" cm="1">
        <f t="array" ref="H3">_xlfn.LET(_xlpm.v,_xlfn.XLOOKUP(G3,tblValutazioni[TipoValutazione],tblValutazioni[MB],""),IF(_xlpm.v="","",_xlpm.v))</f>
        <v>3</v>
      </c>
      <c r="I3" s="18">
        <f>IF(_xlfn.XLOOKUP($A3, tblRisposte[ItemKey],tblRisposte[Valore],"")="Molto bene","X",0)</f>
        <v>0</v>
      </c>
      <c r="J3" s="1">
        <f>IF((I3="X"),H3,0)</f>
        <v>0</v>
      </c>
      <c r="K3" t="str" cm="1">
        <f t="array" ref="K3">_xlfn.LET(_xlpm.v,_xlfn.XLOOKUP(G3,tblValutazioni[TipoValutazione],tblValutazioni[BE],""),IF(_xlpm.v="","",_xlpm.v))</f>
        <v/>
      </c>
      <c r="L3" s="18">
        <f>IF(_xlfn.XLOOKUP($A3, tblRisposte[ItemKey], tblRisposte[Valore], "")="Bene","X",0)</f>
        <v>0</v>
      </c>
      <c r="M3" s="1">
        <f>IF((L3="X"),K3,0)</f>
        <v>0</v>
      </c>
      <c r="N3" cm="1">
        <f t="array" ref="N3">_xlfn.LET(_xlpm.v,_xlfn.XLOOKUP(G3,tblValutazioni[TipoValutazione],tblValutazioni[SU],""),IF(_xlpm.v="","",_xlpm.v))</f>
        <v>1</v>
      </c>
      <c r="O3" s="18">
        <f>IF(_xlfn.XLOOKUP($A3, tblRisposte[ItemKey], tblRisposte[Valore], "")="Soddisfacente","X",0)</f>
        <v>0</v>
      </c>
      <c r="P3" s="1">
        <f>IF((O3="X"),N3,0)</f>
        <v>0</v>
      </c>
      <c r="Q3" t="str" cm="1">
        <f t="array" ref="Q3">_xlfn.LET(_xlpm.v,_xlfn.XLOOKUP(G3,tblValutazioni[TipoValutazione],tblValutazioni[IN],""),IF(_xlpm.v="","",_xlpm.v))</f>
        <v/>
      </c>
      <c r="R3" s="18">
        <f>IF(_xlfn.XLOOKUP($A3, tblRisposte[ItemKey], tblRisposte[Valore], "")="Insufficiente","X",0)</f>
        <v>0</v>
      </c>
      <c r="S3" s="1">
        <f>IF((R3="X"),Q3,0)</f>
        <v>0</v>
      </c>
      <c r="T3" cm="1">
        <f t="array" ref="T3">_xlfn.LET(_xlpm.v,_xlfn.XLOOKUP(G3,tblValutazioni[TipoValutazione],tblValutazioni[NE],""),IF(_xlpm.v="","",_xlpm.v))</f>
        <v>0</v>
      </c>
      <c r="U3" s="18">
        <f>IF(_xlfn.XLOOKUP($A3, tblRisposte[ItemKey], tblRisposte[Valore], "")="Non eseguito","X",0)</f>
        <v>0</v>
      </c>
      <c r="V3" s="1">
        <f>IF((U3="X"),T3,0)</f>
        <v>0</v>
      </c>
      <c r="W3">
        <f>COUNTIF(I3,"x")+COUNTIF(L3,"x")+COUNTIF(O3,"x")+COUNTIF(R3,"x")+COUNTIF(U3,"x")</f>
        <v>0</v>
      </c>
      <c r="X3" t="str">
        <f>IF(COUNTIF(I3:U3,"X")=1,"OK","errore")</f>
        <v>errore</v>
      </c>
      <c r="Z3" s="7"/>
      <c r="AE3" s="8"/>
    </row>
    <row r="4" spans="1:31" ht="15" customHeight="1">
      <c r="A4" t="str">
        <f>IF(G4&lt;&gt;"",ScenaAttiva&amp;"_"&amp;AB$4&amp;TEXT(COUNTIF($G$3:G4,"&lt;&gt;"),"0000"),"")</f>
        <v>A_ASM0002</v>
      </c>
      <c r="B4">
        <f>IF(A4&lt;&gt;"",SquadraAttiva,"")</f>
        <v>3</v>
      </c>
      <c r="C4" t="str">
        <f t="shared" si="0"/>
        <v>3-A_ASM0002</v>
      </c>
      <c r="D4">
        <f>IFERROR(_xlfn.XLOOKUP(C4,tblRisposte[idValutazione],tblRisposte[Valore],""),"")</f>
        <v>0</v>
      </c>
      <c r="F4" s="78" t="s">
        <v>169</v>
      </c>
      <c r="G4" t="s">
        <v>35</v>
      </c>
      <c r="H4" cm="1">
        <f t="array" ref="H4">_xlfn.LET(_xlpm.v,_xlfn.XLOOKUP(G4,tblValutazioni[TipoValutazione],tblValutazioni[MB],""),IF(_xlpm.v="","",_xlpm.v))</f>
        <v>5</v>
      </c>
      <c r="I4" s="18">
        <f>IF(_xlfn.XLOOKUP($A4, tblRisposte[ItemKey],tblRisposte[Valore],"")="Molto bene","X",0)</f>
        <v>0</v>
      </c>
      <c r="J4" s="1">
        <f t="shared" ref="J4:J40" si="1">IF((I4="X"),H4,0)</f>
        <v>0</v>
      </c>
      <c r="K4" cm="1">
        <f t="array" ref="K4">_xlfn.LET(_xlpm.v,_xlfn.XLOOKUP(G4,tblValutazioni[TipoValutazione],tblValutazioni[BE],""),IF(_xlpm.v="","",_xlpm.v))</f>
        <v>4</v>
      </c>
      <c r="L4" s="18">
        <f>IF(_xlfn.XLOOKUP($A4, tblRisposte[ItemKey], tblRisposte[Valore], "")="Bene","X",0)</f>
        <v>0</v>
      </c>
      <c r="M4" s="1">
        <f t="shared" ref="M4:M40" si="2">IF((L4="X"),K4,0)</f>
        <v>0</v>
      </c>
      <c r="N4" cm="1">
        <f t="array" ref="N4">_xlfn.LET(_xlpm.v,_xlfn.XLOOKUP(G4,tblValutazioni[TipoValutazione],tblValutazioni[SU],""),IF(_xlpm.v="","",_xlpm.v))</f>
        <v>2</v>
      </c>
      <c r="O4" s="18">
        <f>IF(_xlfn.XLOOKUP($A4, tblRisposte[ItemKey], tblRisposte[Valore], "")="Soddisfacente","X",0)</f>
        <v>0</v>
      </c>
      <c r="P4" s="1">
        <f t="shared" ref="P4:P40" si="3">IF((O4="X"),N4,0)</f>
        <v>0</v>
      </c>
      <c r="Q4" cm="1">
        <f t="array" ref="Q4">_xlfn.LET(_xlpm.v,_xlfn.XLOOKUP(G4,tblValutazioni[TipoValutazione],tblValutazioni[IN],""),IF(_xlpm.v="","",_xlpm.v))</f>
        <v>1</v>
      </c>
      <c r="R4" s="18">
        <f>IF(_xlfn.XLOOKUP($A4, tblRisposte[ItemKey], tblRisposte[Valore], "")="Insufficiente","X",0)</f>
        <v>0</v>
      </c>
      <c r="S4" s="1">
        <f t="shared" ref="S4:S40" si="4">IF((R4="X"),Q4,0)</f>
        <v>0</v>
      </c>
      <c r="T4" cm="1">
        <f t="array" ref="T4">_xlfn.LET(_xlpm.v,_xlfn.XLOOKUP(G4,tblValutazioni[TipoValutazione],tblValutazioni[NE],""),IF(_xlpm.v="","",_xlpm.v))</f>
        <v>0</v>
      </c>
      <c r="U4" s="18">
        <f>IF(_xlfn.XLOOKUP($A4, tblRisposte[ItemKey], tblRisposte[Valore], "")="Non eseguito","X",0)</f>
        <v>0</v>
      </c>
      <c r="V4" s="1">
        <f t="shared" ref="V4:V40" si="5">IF((U4="X"),T4,0)</f>
        <v>0</v>
      </c>
      <c r="W4">
        <f>COUNTIF(I4,"x")+COUNTIF(L4,"x")+COUNTIF(O4,"x")+COUNTIF(R4,"x")+COUNTIF(U4,"x")</f>
        <v>0</v>
      </c>
      <c r="X4" t="str">
        <f>IF(COUNTIF(I4:U4,"X")=1,"OK","errore")</f>
        <v>errore</v>
      </c>
      <c r="Z4" s="9" t="s">
        <v>662</v>
      </c>
      <c r="AA4" s="10">
        <v>4</v>
      </c>
      <c r="AB4" t="str" cm="1">
        <f t="array" ref="AB4">INDEX(tblMapSchede[[#All],[SIGLA]],AA$4+2)</f>
        <v>ASM</v>
      </c>
      <c r="AC4" s="10"/>
      <c r="AD4" s="10"/>
      <c r="AE4" s="11"/>
    </row>
    <row r="5" spans="1:31" ht="15" customHeight="1">
      <c r="A5" t="str">
        <f>IF(G5&lt;&gt;"",ScenaAttiva&amp;"_"&amp;AB$4&amp;TEXT(COUNTIF($G$3:G5,"&lt;&gt;"),"0000"),"")</f>
        <v>A_ASM0003</v>
      </c>
      <c r="B5">
        <f>IF(A5&lt;&gt;"",SquadraAttiva,"")</f>
        <v>3</v>
      </c>
      <c r="C5" t="str">
        <f t="shared" si="0"/>
        <v>3-A_ASM0003</v>
      </c>
      <c r="D5">
        <f>IFERROR(_xlfn.XLOOKUP(C5,tblRisposte[idValutazione],tblRisposte[Valore],""),"")</f>
        <v>0</v>
      </c>
      <c r="F5" s="78" t="s">
        <v>171</v>
      </c>
      <c r="G5" t="s">
        <v>35</v>
      </c>
      <c r="H5" cm="1">
        <f t="array" ref="H5">_xlfn.LET(_xlpm.v,_xlfn.XLOOKUP(G5,tblValutazioni[TipoValutazione],tblValutazioni[MB],""),IF(_xlpm.v="","",_xlpm.v))</f>
        <v>5</v>
      </c>
      <c r="I5" s="18">
        <f>IF(_xlfn.XLOOKUP($A5, tblRisposte[ItemKey],tblRisposte[Valore],"")="Molto bene","X",0)</f>
        <v>0</v>
      </c>
      <c r="J5" s="1">
        <f t="shared" si="1"/>
        <v>0</v>
      </c>
      <c r="K5" cm="1">
        <f t="array" ref="K5">_xlfn.LET(_xlpm.v,_xlfn.XLOOKUP(G5,tblValutazioni[TipoValutazione],tblValutazioni[BE],""),IF(_xlpm.v="","",_xlpm.v))</f>
        <v>4</v>
      </c>
      <c r="L5" s="18">
        <f>IF(_xlfn.XLOOKUP($A5, tblRisposte[ItemKey], tblRisposte[Valore], "")="Bene","X",0)</f>
        <v>0</v>
      </c>
      <c r="M5" s="1">
        <f t="shared" si="2"/>
        <v>0</v>
      </c>
      <c r="N5" cm="1">
        <f t="array" ref="N5">_xlfn.LET(_xlpm.v,_xlfn.XLOOKUP(G5,tblValutazioni[TipoValutazione],tblValutazioni[SU],""),IF(_xlpm.v="","",_xlpm.v))</f>
        <v>2</v>
      </c>
      <c r="O5" s="18">
        <f>IF(_xlfn.XLOOKUP($A5, tblRisposte[ItemKey], tblRisposte[Valore], "")="Soddisfacente","X",0)</f>
        <v>0</v>
      </c>
      <c r="P5" s="1">
        <f t="shared" si="3"/>
        <v>0</v>
      </c>
      <c r="Q5" cm="1">
        <f t="array" ref="Q5">_xlfn.LET(_xlpm.v,_xlfn.XLOOKUP(G5,tblValutazioni[TipoValutazione],tblValutazioni[IN],""),IF(_xlpm.v="","",_xlpm.v))</f>
        <v>1</v>
      </c>
      <c r="R5" s="18">
        <f>IF(_xlfn.XLOOKUP($A5, tblRisposte[ItemKey], tblRisposte[Valore], "")="Insufficiente","X",0)</f>
        <v>0</v>
      </c>
      <c r="S5" s="1">
        <f t="shared" si="4"/>
        <v>0</v>
      </c>
      <c r="T5" cm="1">
        <f t="array" ref="T5">_xlfn.LET(_xlpm.v,_xlfn.XLOOKUP(G5,tblValutazioni[TipoValutazione],tblValutazioni[NE],""),IF(_xlpm.v="","",_xlpm.v))</f>
        <v>0</v>
      </c>
      <c r="U5" s="18">
        <f>IF(_xlfn.XLOOKUP($A5, tblRisposte[ItemKey], tblRisposte[Valore], "")="Non eseguito","X",0)</f>
        <v>0</v>
      </c>
      <c r="V5" s="1">
        <f t="shared" si="5"/>
        <v>0</v>
      </c>
      <c r="W5">
        <f>COUNTIF(I5,"x")+COUNTIF(L5,"x")+COUNTIF(O5,"x")+COUNTIF(R5,"x")+COUNTIF(U5,"x")</f>
        <v>0</v>
      </c>
      <c r="X5" t="str">
        <f>IF(COUNTIF(I5:U5,"X")=1,"OK","errore")</f>
        <v>errore</v>
      </c>
    </row>
    <row r="6" spans="1:31" ht="15" customHeight="1">
      <c r="A6" t="str">
        <f>IF(G6&lt;&gt;"",ScenaAttiva&amp;"_"&amp;AB$4&amp;TEXT(COUNTIF($G$3:G6,"&lt;&gt;"),"0000"),"")</f>
        <v>A_ASM0004</v>
      </c>
      <c r="B6">
        <f>IF(A6&lt;&gt;"",SquadraAttiva,"")</f>
        <v>3</v>
      </c>
      <c r="C6" t="str">
        <f t="shared" si="0"/>
        <v>3-A_ASM0004</v>
      </c>
      <c r="D6">
        <f>IFERROR(_xlfn.XLOOKUP(C6,tblRisposte[idValutazione],tblRisposte[Valore],""),"")</f>
        <v>0</v>
      </c>
      <c r="F6" s="78" t="s">
        <v>63</v>
      </c>
      <c r="G6" t="s">
        <v>35</v>
      </c>
      <c r="H6" cm="1">
        <f t="array" ref="H6">_xlfn.LET(_xlpm.v,_xlfn.XLOOKUP(G6,tblValutazioni[TipoValutazione],tblValutazioni[MB],""),IF(_xlpm.v="","",_xlpm.v))</f>
        <v>5</v>
      </c>
      <c r="I6" s="18">
        <f>IF(_xlfn.XLOOKUP($A6, tblRisposte[ItemKey],tblRisposte[Valore],"")="Molto bene","X",0)</f>
        <v>0</v>
      </c>
      <c r="J6" s="1">
        <f t="shared" si="1"/>
        <v>0</v>
      </c>
      <c r="K6" cm="1">
        <f t="array" ref="K6">_xlfn.LET(_xlpm.v,_xlfn.XLOOKUP(G6,tblValutazioni[TipoValutazione],tblValutazioni[BE],""),IF(_xlpm.v="","",_xlpm.v))</f>
        <v>4</v>
      </c>
      <c r="L6" s="18">
        <f>IF(_xlfn.XLOOKUP($A6, tblRisposte[ItemKey], tblRisposte[Valore], "")="Bene","X",0)</f>
        <v>0</v>
      </c>
      <c r="M6" s="1">
        <f t="shared" si="2"/>
        <v>0</v>
      </c>
      <c r="N6" cm="1">
        <f t="array" ref="N6">_xlfn.LET(_xlpm.v,_xlfn.XLOOKUP(G6,tblValutazioni[TipoValutazione],tblValutazioni[SU],""),IF(_xlpm.v="","",_xlpm.v))</f>
        <v>2</v>
      </c>
      <c r="O6" s="18">
        <f>IF(_xlfn.XLOOKUP($A6, tblRisposte[ItemKey], tblRisposte[Valore], "")="Soddisfacente","X",0)</f>
        <v>0</v>
      </c>
      <c r="P6" s="1">
        <f t="shared" si="3"/>
        <v>0</v>
      </c>
      <c r="Q6" cm="1">
        <f t="array" ref="Q6">_xlfn.LET(_xlpm.v,_xlfn.XLOOKUP(G6,tblValutazioni[TipoValutazione],tblValutazioni[IN],""),IF(_xlpm.v="","",_xlpm.v))</f>
        <v>1</v>
      </c>
      <c r="R6" s="18">
        <f>IF(_xlfn.XLOOKUP($A6, tblRisposte[ItemKey], tblRisposte[Valore], "")="Insufficiente","X",0)</f>
        <v>0</v>
      </c>
      <c r="S6" s="1">
        <f t="shared" si="4"/>
        <v>0</v>
      </c>
      <c r="T6" cm="1">
        <f t="array" ref="T6">_xlfn.LET(_xlpm.v,_xlfn.XLOOKUP(G6,tblValutazioni[TipoValutazione],tblValutazioni[NE],""),IF(_xlpm.v="","",_xlpm.v))</f>
        <v>0</v>
      </c>
      <c r="U6" s="18">
        <f>IF(_xlfn.XLOOKUP($A6, tblRisposte[ItemKey], tblRisposte[Valore], "")="Non eseguito","X",0)</f>
        <v>0</v>
      </c>
      <c r="V6" s="1">
        <f t="shared" si="5"/>
        <v>0</v>
      </c>
      <c r="W6">
        <f>COUNTIF(I6,"x")+COUNTIF(L6,"x")+COUNTIF(O6,"x")+COUNTIF(R6,"x")+COUNTIF(U6,"x")</f>
        <v>0</v>
      </c>
      <c r="X6" t="str">
        <f>IF(COUNTIF(I6:U6,"X")=1,"OK","errore")</f>
        <v>errore</v>
      </c>
      <c r="Z6" t="s">
        <v>750</v>
      </c>
    </row>
    <row r="7" spans="1:31" ht="15" customHeight="1">
      <c r="A7" t="str">
        <f>IF(G7&lt;&gt;"",ScenaAttiva&amp;"_"&amp;AB$4&amp;TEXT(COUNTIF($G$3:G7,"&lt;&gt;"),"0000"),"")</f>
        <v>A_ASM0005</v>
      </c>
      <c r="B7">
        <f>IF(A7&lt;&gt;"",SquadraAttiva,"")</f>
        <v>3</v>
      </c>
      <c r="C7" t="str">
        <f t="shared" si="0"/>
        <v>3-A_ASM0005</v>
      </c>
      <c r="D7">
        <f>IFERROR(_xlfn.XLOOKUP(C7,tblRisposte[idValutazione],tblRisposte[Valore],""),"")</f>
        <v>0</v>
      </c>
      <c r="E7" t="s">
        <v>653</v>
      </c>
      <c r="F7" s="78" t="s">
        <v>124</v>
      </c>
      <c r="G7" t="s">
        <v>36</v>
      </c>
      <c r="H7" cm="1">
        <f t="array" ref="H7">_xlfn.LET(_xlpm.v,_xlfn.XLOOKUP(G7,tblValutazioni[TipoValutazione],tblValutazioni[MB],""),IF(_xlpm.v="","",_xlpm.v))</f>
        <v>3</v>
      </c>
      <c r="I7" s="18">
        <f>IF(_xlfn.XLOOKUP($A7, tblRisposte[ItemKey],tblRisposte[Valore],"")="Molto bene","X",0)</f>
        <v>0</v>
      </c>
      <c r="J7" s="1">
        <f t="shared" si="1"/>
        <v>0</v>
      </c>
      <c r="K7" t="str" cm="1">
        <f t="array" ref="K7">_xlfn.LET(_xlpm.v,_xlfn.XLOOKUP(G7,tblValutazioni[TipoValutazione],tblValutazioni[BE],""),IF(_xlpm.v="","",_xlpm.v))</f>
        <v/>
      </c>
      <c r="L7" s="18">
        <f>IF(_xlfn.XLOOKUP($A7, tblRisposte[ItemKey], tblRisposte[Valore], "")="Bene","X",0)</f>
        <v>0</v>
      </c>
      <c r="M7" s="1">
        <f t="shared" si="2"/>
        <v>0</v>
      </c>
      <c r="N7" cm="1">
        <f t="array" ref="N7">_xlfn.LET(_xlpm.v,_xlfn.XLOOKUP(G7,tblValutazioni[TipoValutazione],tblValutazioni[SU],""),IF(_xlpm.v="","",_xlpm.v))</f>
        <v>1</v>
      </c>
      <c r="O7" s="18">
        <f>IF(_xlfn.XLOOKUP($A7, tblRisposte[ItemKey], tblRisposte[Valore], "")="Soddisfacente","X",0)</f>
        <v>0</v>
      </c>
      <c r="P7" s="1">
        <f t="shared" si="3"/>
        <v>0</v>
      </c>
      <c r="Q7" t="str" cm="1">
        <f t="array" ref="Q7">_xlfn.LET(_xlpm.v,_xlfn.XLOOKUP(G7,tblValutazioni[TipoValutazione],tblValutazioni[IN],""),IF(_xlpm.v="","",_xlpm.v))</f>
        <v/>
      </c>
      <c r="R7" s="18">
        <f>IF(_xlfn.XLOOKUP($A7, tblRisposte[ItemKey], tblRisposte[Valore], "")="Insufficiente","X",0)</f>
        <v>0</v>
      </c>
      <c r="S7" s="1">
        <f t="shared" si="4"/>
        <v>0</v>
      </c>
      <c r="T7" cm="1">
        <f t="array" ref="T7">_xlfn.LET(_xlpm.v,_xlfn.XLOOKUP(G7,tblValutazioni[TipoValutazione],tblValutazioni[NE],""),IF(_xlpm.v="","",_xlpm.v))</f>
        <v>0</v>
      </c>
      <c r="U7" s="18">
        <f>IF(_xlfn.XLOOKUP($A7, tblRisposte[ItemKey], tblRisposte[Valore], "")="Non eseguito","X",0)</f>
        <v>0</v>
      </c>
      <c r="V7" s="1">
        <f t="shared" si="5"/>
        <v>0</v>
      </c>
      <c r="W7">
        <f>COUNTIF(I7,"x")+COUNTIF(L7,"x")+COUNTIF(O7,"x")+COUNTIF(R7,"x")+COUNTIF(U7,"x")</f>
        <v>0</v>
      </c>
      <c r="X7" t="str">
        <f>IF(COUNTIF(I7:U7,"X")=1,"OK","errore")</f>
        <v>errore</v>
      </c>
    </row>
    <row r="8" spans="1:31" ht="15" customHeight="1">
      <c r="A8" t="str">
        <f>IF(G8&lt;&gt;"",ScenaAttiva&amp;"_"&amp;AB$4&amp;TEXT(COUNTIF($G$3:G8,"&lt;&gt;"),"0000"),"")</f>
        <v>A_ASM0006</v>
      </c>
      <c r="B8">
        <f>IF(A8&lt;&gt;"",SquadraAttiva,"")</f>
        <v>3</v>
      </c>
      <c r="C8" t="str">
        <f t="shared" si="0"/>
        <v>3-A_ASM0006</v>
      </c>
      <c r="D8">
        <f>IFERROR(_xlfn.XLOOKUP(C8,tblRisposte[idValutazione],tblRisposte[Valore],""),"")</f>
        <v>0</v>
      </c>
      <c r="E8" t="s">
        <v>653</v>
      </c>
      <c r="F8" s="82" t="s">
        <v>126</v>
      </c>
      <c r="G8" t="s">
        <v>35</v>
      </c>
      <c r="H8" cm="1">
        <f t="array" ref="H8">_xlfn.LET(_xlpm.v,_xlfn.XLOOKUP(G8,tblValutazioni[TipoValutazione],tblValutazioni[MB],""),IF(_xlpm.v="","",_xlpm.v))</f>
        <v>5</v>
      </c>
      <c r="I8" s="18">
        <f>IF(_xlfn.XLOOKUP($A8, tblRisposte[ItemKey],tblRisposte[Valore],"")="Molto bene","X",0)</f>
        <v>0</v>
      </c>
      <c r="J8" s="1">
        <f t="shared" si="1"/>
        <v>0</v>
      </c>
      <c r="K8" cm="1">
        <f t="array" ref="K8">_xlfn.LET(_xlpm.v,_xlfn.XLOOKUP(G8,tblValutazioni[TipoValutazione],tblValutazioni[BE],""),IF(_xlpm.v="","",_xlpm.v))</f>
        <v>4</v>
      </c>
      <c r="L8" s="18">
        <f>IF(_xlfn.XLOOKUP($A8, tblRisposte[ItemKey], tblRisposte[Valore], "")="Bene","X",0)</f>
        <v>0</v>
      </c>
      <c r="M8" s="1">
        <f t="shared" si="2"/>
        <v>0</v>
      </c>
      <c r="N8" cm="1">
        <f t="array" ref="N8">_xlfn.LET(_xlpm.v,_xlfn.XLOOKUP(G8,tblValutazioni[TipoValutazione],tblValutazioni[SU],""),IF(_xlpm.v="","",_xlpm.v))</f>
        <v>2</v>
      </c>
      <c r="O8" s="18">
        <f>IF(_xlfn.XLOOKUP($A8, tblRisposte[ItemKey], tblRisposte[Valore], "")="Soddisfacente","X",0)</f>
        <v>0</v>
      </c>
      <c r="P8" s="1">
        <f t="shared" si="3"/>
        <v>0</v>
      </c>
      <c r="Q8" cm="1">
        <f t="array" ref="Q8">_xlfn.LET(_xlpm.v,_xlfn.XLOOKUP(G8,tblValutazioni[TipoValutazione],tblValutazioni[IN],""),IF(_xlpm.v="","",_xlpm.v))</f>
        <v>1</v>
      </c>
      <c r="R8" s="18">
        <f>IF(_xlfn.XLOOKUP($A8, tblRisposte[ItemKey], tblRisposte[Valore], "")="Insufficiente","X",0)</f>
        <v>0</v>
      </c>
      <c r="S8" s="1">
        <f t="shared" si="4"/>
        <v>0</v>
      </c>
      <c r="T8" cm="1">
        <f t="array" ref="T8">_xlfn.LET(_xlpm.v,_xlfn.XLOOKUP(G8,tblValutazioni[TipoValutazione],tblValutazioni[NE],""),IF(_xlpm.v="","",_xlpm.v))</f>
        <v>0</v>
      </c>
      <c r="U8" s="18">
        <f>IF(_xlfn.XLOOKUP($A8, tblRisposte[ItemKey], tblRisposte[Valore], "")="Non eseguito","X",0)</f>
        <v>0</v>
      </c>
      <c r="V8" s="1">
        <f t="shared" si="5"/>
        <v>0</v>
      </c>
      <c r="W8">
        <f>COUNTIF(I8,"x")+COUNTIF(L8,"x")+COUNTIF(O8,"x")+COUNTIF(R8,"x")+COUNTIF(U8,"x")</f>
        <v>0</v>
      </c>
      <c r="X8" t="str">
        <f>IF(COUNTIF(I8:U8,"X")=1,"OK","errore")</f>
        <v>errore</v>
      </c>
      <c r="Z8" t="s">
        <v>751</v>
      </c>
    </row>
    <row r="9" spans="1:31" ht="15" customHeight="1">
      <c r="A9" t="str">
        <f>IF(G9&lt;&gt;"",ScenaAttiva&amp;"_"&amp;AB$4&amp;TEXT(COUNTIF($G$3:G9,"&lt;&gt;"),"0000"),"")</f>
        <v>A_ASM0007</v>
      </c>
      <c r="B9">
        <f>IF(A9&lt;&gt;"",SquadraAttiva,"")</f>
        <v>3</v>
      </c>
      <c r="C9" t="str">
        <f t="shared" si="0"/>
        <v>3-A_ASM0007</v>
      </c>
      <c r="D9">
        <f>IFERROR(_xlfn.XLOOKUP(C9,tblRisposte[idValutazione],tblRisposte[Valore],""),"")</f>
        <v>0</v>
      </c>
      <c r="E9" t="s">
        <v>653</v>
      </c>
      <c r="F9" s="82" t="s">
        <v>176</v>
      </c>
      <c r="G9" t="s">
        <v>35</v>
      </c>
      <c r="H9" cm="1">
        <f t="array" ref="H9">_xlfn.LET(_xlpm.v,_xlfn.XLOOKUP(G9,tblValutazioni[TipoValutazione],tblValutazioni[MB],""),IF(_xlpm.v="","",_xlpm.v))</f>
        <v>5</v>
      </c>
      <c r="I9" s="18">
        <f>IF(_xlfn.XLOOKUP($A9, tblRisposte[ItemKey],tblRisposte[Valore],"")="Molto bene","X",0)</f>
        <v>0</v>
      </c>
      <c r="J9" s="1">
        <f t="shared" si="1"/>
        <v>0</v>
      </c>
      <c r="K9" cm="1">
        <f t="array" ref="K9">_xlfn.LET(_xlpm.v,_xlfn.XLOOKUP(G9,tblValutazioni[TipoValutazione],tblValutazioni[BE],""),IF(_xlpm.v="","",_xlpm.v))</f>
        <v>4</v>
      </c>
      <c r="L9" s="18">
        <f>IF(_xlfn.XLOOKUP($A9, tblRisposte[ItemKey], tblRisposte[Valore], "")="Bene","X",0)</f>
        <v>0</v>
      </c>
      <c r="M9" s="1">
        <f t="shared" si="2"/>
        <v>0</v>
      </c>
      <c r="N9" cm="1">
        <f t="array" ref="N9">_xlfn.LET(_xlpm.v,_xlfn.XLOOKUP(G9,tblValutazioni[TipoValutazione],tblValutazioni[SU],""),IF(_xlpm.v="","",_xlpm.v))</f>
        <v>2</v>
      </c>
      <c r="O9" s="18">
        <f>IF(_xlfn.XLOOKUP($A9, tblRisposte[ItemKey], tblRisposte[Valore], "")="Soddisfacente","X",0)</f>
        <v>0</v>
      </c>
      <c r="P9" s="1">
        <f t="shared" si="3"/>
        <v>0</v>
      </c>
      <c r="Q9" cm="1">
        <f t="array" ref="Q9">_xlfn.LET(_xlpm.v,_xlfn.XLOOKUP(G9,tblValutazioni[TipoValutazione],tblValutazioni[IN],""),IF(_xlpm.v="","",_xlpm.v))</f>
        <v>1</v>
      </c>
      <c r="R9" s="18">
        <f>IF(_xlfn.XLOOKUP($A9, tblRisposte[ItemKey], tblRisposte[Valore], "")="Insufficiente","X",0)</f>
        <v>0</v>
      </c>
      <c r="S9" s="1">
        <f t="shared" si="4"/>
        <v>0</v>
      </c>
      <c r="T9" cm="1">
        <f t="array" ref="T9">_xlfn.LET(_xlpm.v,_xlfn.XLOOKUP(G9,tblValutazioni[TipoValutazione],tblValutazioni[NE],""),IF(_xlpm.v="","",_xlpm.v))</f>
        <v>0</v>
      </c>
      <c r="U9" s="18">
        <f>IF(_xlfn.XLOOKUP($A9, tblRisposte[ItemKey], tblRisposte[Valore], "")="Non eseguito","X",0)</f>
        <v>0</v>
      </c>
      <c r="V9" s="1">
        <f t="shared" si="5"/>
        <v>0</v>
      </c>
      <c r="W9">
        <f>COUNTIF(I9,"x")+COUNTIF(L9,"x")+COUNTIF(O9,"x")+COUNTIF(R9,"x")+COUNTIF(U9,"x")</f>
        <v>0</v>
      </c>
      <c r="X9" t="str">
        <f>IF(COUNTIF(I9:U9,"X")=1,"OK","errore")</f>
        <v>errore</v>
      </c>
    </row>
    <row r="10" spans="1:31" ht="15" customHeight="1">
      <c r="A10" s="17" t="str">
        <f>IF(G10&lt;&gt;"",ScenaAttiva&amp;"_"&amp;AB$4&amp;TEXT(COUNTIF($G$3:G10,"&lt;&gt;"),"0000"),"")</f>
        <v>A_ASM0008</v>
      </c>
      <c r="B10" s="17">
        <f>IF(A10&lt;&gt;"",SquadraAttiva,"")</f>
        <v>3</v>
      </c>
      <c r="C10" s="17" t="str">
        <f t="shared" si="0"/>
        <v>3-A_ASM0008</v>
      </c>
      <c r="D10" s="17">
        <f>IFERROR(_xlfn.XLOOKUP(C10,tblRisposte[idValutazione],tblRisposte[Valore],""),"")</f>
        <v>0</v>
      </c>
      <c r="E10" t="s">
        <v>653</v>
      </c>
      <c r="F10" s="82" t="s">
        <v>178</v>
      </c>
      <c r="G10" t="s">
        <v>36</v>
      </c>
      <c r="H10" cm="1">
        <f t="array" ref="H10">_xlfn.LET(_xlpm.v,_xlfn.XLOOKUP(G10,tblValutazioni[TipoValutazione],tblValutazioni[MB],""),IF(_xlpm.v="","",_xlpm.v))</f>
        <v>3</v>
      </c>
      <c r="I10" s="18">
        <f>IF(_xlfn.XLOOKUP($A10, tblRisposte[ItemKey],tblRisposte[Valore],"")="Molto bene","X",0)</f>
        <v>0</v>
      </c>
      <c r="J10" s="1">
        <f t="shared" si="1"/>
        <v>0</v>
      </c>
      <c r="K10" t="str" cm="1">
        <f t="array" ref="K10">_xlfn.LET(_xlpm.v,_xlfn.XLOOKUP(G10,tblValutazioni[TipoValutazione],tblValutazioni[BE],""),IF(_xlpm.v="","",_xlpm.v))</f>
        <v/>
      </c>
      <c r="L10" s="18">
        <f>IF(_xlfn.XLOOKUP($A10, tblRisposte[ItemKey], tblRisposte[Valore], "")="Bene","X",0)</f>
        <v>0</v>
      </c>
      <c r="M10" s="1">
        <f t="shared" si="2"/>
        <v>0</v>
      </c>
      <c r="N10" cm="1">
        <f t="array" ref="N10">_xlfn.LET(_xlpm.v,_xlfn.XLOOKUP(G10,tblValutazioni[TipoValutazione],tblValutazioni[SU],""),IF(_xlpm.v="","",_xlpm.v))</f>
        <v>1</v>
      </c>
      <c r="O10" s="18">
        <f>IF(_xlfn.XLOOKUP($A10, tblRisposte[ItemKey], tblRisposte[Valore], "")="Soddisfacente","X",0)</f>
        <v>0</v>
      </c>
      <c r="P10" s="1">
        <f t="shared" si="3"/>
        <v>0</v>
      </c>
      <c r="Q10" t="str" cm="1">
        <f t="array" ref="Q10">_xlfn.LET(_xlpm.v,_xlfn.XLOOKUP(G10,tblValutazioni[TipoValutazione],tblValutazioni[IN],""),IF(_xlpm.v="","",_xlpm.v))</f>
        <v/>
      </c>
      <c r="R10" s="18">
        <f>IF(_xlfn.XLOOKUP($A10, tblRisposte[ItemKey], tblRisposte[Valore], "")="Insufficiente","X",0)</f>
        <v>0</v>
      </c>
      <c r="S10" s="1">
        <f t="shared" si="4"/>
        <v>0</v>
      </c>
      <c r="T10" cm="1">
        <f t="array" ref="T10">_xlfn.LET(_xlpm.v,_xlfn.XLOOKUP(G10,tblValutazioni[TipoValutazione],tblValutazioni[NE],""),IF(_xlpm.v="","",_xlpm.v))</f>
        <v>0</v>
      </c>
      <c r="U10" s="18">
        <f>IF(_xlfn.XLOOKUP($A10, tblRisposte[ItemKey], tblRisposte[Valore], "")="Non eseguito","X",0)</f>
        <v>0</v>
      </c>
      <c r="V10" s="1">
        <f t="shared" si="5"/>
        <v>0</v>
      </c>
      <c r="W10">
        <f>COUNTIF(I10,"x")+COUNTIF(L10,"x")+COUNTIF(O10,"x")+COUNTIF(R10,"x")+COUNTIF(U10,"x")</f>
        <v>0</v>
      </c>
      <c r="X10" t="str">
        <f>IF(COUNTIF(I10:U10,"X")=1,"OK","errore")</f>
        <v>errore</v>
      </c>
    </row>
    <row r="11" spans="1:31" ht="15" customHeight="1">
      <c r="A11" t="str">
        <f>IF(G11&lt;&gt;"",ScenaAttiva&amp;"_"&amp;AB$4&amp;TEXT(COUNTIF($G$3:G11,"&lt;&gt;"),"0000"),"")</f>
        <v/>
      </c>
      <c r="B11" t="str">
        <f>IF(A11&lt;&gt;"",SquadraAttiva,"")</f>
        <v/>
      </c>
      <c r="C11" t="str">
        <f t="shared" si="0"/>
        <v/>
      </c>
      <c r="D11" t="str">
        <f>IFERROR(_xlfn.XLOOKUP(C11,tblRisposte[idValutazione],tblRisposte[Valore],""),"")</f>
        <v/>
      </c>
      <c r="F11" s="83" t="s">
        <v>128</v>
      </c>
      <c r="G11" s="17"/>
      <c r="H11" t="str" cm="1">
        <f t="array" ref="H11">_xlfn.LET(_xlpm.v,_xlfn.XLOOKUP(G11,tblValutazioni[TipoValutazione],tblValutazioni[MB],""),IF(_xlpm.v="","",_xlpm.v))</f>
        <v/>
      </c>
      <c r="I11" s="18">
        <f>IF(_xlfn.XLOOKUP($A11, tblRisposte[ItemKey],tblRisposte[Valore],"")="Molto bene","X",0)</f>
        <v>0</v>
      </c>
      <c r="J11" s="1">
        <f t="shared" si="1"/>
        <v>0</v>
      </c>
      <c r="K11" t="str" cm="1">
        <f t="array" ref="K11">_xlfn.LET(_xlpm.v,_xlfn.XLOOKUP(G11,tblValutazioni[TipoValutazione],tblValutazioni[BE],""),IF(_xlpm.v="","",_xlpm.v))</f>
        <v/>
      </c>
      <c r="L11" s="18">
        <f>IF(_xlfn.XLOOKUP($A11, tblRisposte[ItemKey], tblRisposte[Valore], "")="Bene","X",0)</f>
        <v>0</v>
      </c>
      <c r="M11" s="1">
        <f t="shared" si="2"/>
        <v>0</v>
      </c>
      <c r="N11" t="str" cm="1">
        <f t="array" ref="N11">_xlfn.LET(_xlpm.v,_xlfn.XLOOKUP(G11,tblValutazioni[TipoValutazione],tblValutazioni[SU],""),IF(_xlpm.v="","",_xlpm.v))</f>
        <v/>
      </c>
      <c r="O11" s="18">
        <f>IF(_xlfn.XLOOKUP($A11, tblRisposte[ItemKey], tblRisposte[Valore], "")="Soddisfacente","X",0)</f>
        <v>0</v>
      </c>
      <c r="P11" s="1">
        <f t="shared" si="3"/>
        <v>0</v>
      </c>
      <c r="Q11" t="str" cm="1">
        <f t="array" ref="Q11">_xlfn.LET(_xlpm.v,_xlfn.XLOOKUP(G11,tblValutazioni[TipoValutazione],tblValutazioni[IN],""),IF(_xlpm.v="","",_xlpm.v))</f>
        <v/>
      </c>
      <c r="R11" s="18">
        <f>IF(_xlfn.XLOOKUP($A11, tblRisposte[ItemKey], tblRisposte[Valore], "")="Insufficiente","X",0)</f>
        <v>0</v>
      </c>
      <c r="S11" s="1">
        <f t="shared" si="4"/>
        <v>0</v>
      </c>
      <c r="T11" t="str" cm="1">
        <f t="array" ref="T11">_xlfn.LET(_xlpm.v,_xlfn.XLOOKUP(G11,tblValutazioni[TipoValutazione],tblValutazioni[NE],""),IF(_xlpm.v="","",_xlpm.v))</f>
        <v/>
      </c>
      <c r="U11" s="18">
        <f>IF(_xlfn.XLOOKUP($A11, tblRisposte[ItemKey], tblRisposte[Valore], "")="Non eseguito","X",0)</f>
        <v>0</v>
      </c>
      <c r="V11" s="1">
        <f t="shared" si="5"/>
        <v>0</v>
      </c>
      <c r="W11">
        <f>COUNTIF(I11,"x")+COUNTIF(L11,"x")+COUNTIF(O11,"x")+COUNTIF(R11,"x")+COUNTIF(U11,"x")</f>
        <v>0</v>
      </c>
      <c r="X11" t="str">
        <f>IF(COUNTIF(I11:U11,"X")=1,"OK","errore")</f>
        <v>errore</v>
      </c>
      <c r="Z11" t="s">
        <v>718</v>
      </c>
      <c r="AA11">
        <f>SUM(H2:H40)</f>
        <v>98</v>
      </c>
    </row>
    <row r="12" spans="1:31" ht="15" customHeight="1">
      <c r="A12" t="str">
        <f>IF(G12&lt;&gt;"",ScenaAttiva&amp;"_"&amp;AB$4&amp;TEXT(COUNTIF($G$3:G12,"&lt;&gt;"),"0000"),"")</f>
        <v>A_ASM0009</v>
      </c>
      <c r="B12">
        <f>IF(A12&lt;&gt;"",SquadraAttiva,"")</f>
        <v>3</v>
      </c>
      <c r="C12" t="str">
        <f t="shared" si="0"/>
        <v>3-A_ASM0009</v>
      </c>
      <c r="D12">
        <f>IFERROR(_xlfn.XLOOKUP(C12,tblRisposte[idValutazione],tblRisposte[Valore],""),"")</f>
        <v>0</v>
      </c>
      <c r="F12" s="78" t="s">
        <v>256</v>
      </c>
      <c r="G12" t="s">
        <v>35</v>
      </c>
      <c r="H12" cm="1">
        <f t="array" ref="H12">_xlfn.LET(_xlpm.v,_xlfn.XLOOKUP(G12,tblValutazioni[TipoValutazione],tblValutazioni[MB],""),IF(_xlpm.v="","",_xlpm.v))</f>
        <v>5</v>
      </c>
      <c r="I12" s="18">
        <f>IF(_xlfn.XLOOKUP($A12, tblRisposte[ItemKey],tblRisposte[Valore],"")="Molto bene","X",0)</f>
        <v>0</v>
      </c>
      <c r="J12" s="1">
        <f t="shared" si="1"/>
        <v>0</v>
      </c>
      <c r="K12" cm="1">
        <f t="array" ref="K12">_xlfn.LET(_xlpm.v,_xlfn.XLOOKUP(G12,tblValutazioni[TipoValutazione],tblValutazioni[BE],""),IF(_xlpm.v="","",_xlpm.v))</f>
        <v>4</v>
      </c>
      <c r="L12" s="18">
        <f>IF(_xlfn.XLOOKUP($A12, tblRisposte[ItemKey], tblRisposte[Valore], "")="Bene","X",0)</f>
        <v>0</v>
      </c>
      <c r="M12" s="1">
        <f t="shared" si="2"/>
        <v>0</v>
      </c>
      <c r="N12" cm="1">
        <f t="array" ref="N12">_xlfn.LET(_xlpm.v,_xlfn.XLOOKUP(G12,tblValutazioni[TipoValutazione],tblValutazioni[SU],""),IF(_xlpm.v="","",_xlpm.v))</f>
        <v>2</v>
      </c>
      <c r="O12" s="18">
        <f>IF(_xlfn.XLOOKUP($A12, tblRisposte[ItemKey], tblRisposte[Valore], "")="Soddisfacente","X",0)</f>
        <v>0</v>
      </c>
      <c r="P12" s="1">
        <f t="shared" si="3"/>
        <v>0</v>
      </c>
      <c r="Q12" cm="1">
        <f t="array" ref="Q12">_xlfn.LET(_xlpm.v,_xlfn.XLOOKUP(G12,tblValutazioni[TipoValutazione],tblValutazioni[IN],""),IF(_xlpm.v="","",_xlpm.v))</f>
        <v>1</v>
      </c>
      <c r="R12" s="18">
        <f>IF(_xlfn.XLOOKUP($A12, tblRisposte[ItemKey], tblRisposte[Valore], "")="Insufficiente","X",0)</f>
        <v>0</v>
      </c>
      <c r="S12" s="1">
        <f t="shared" si="4"/>
        <v>0</v>
      </c>
      <c r="T12" cm="1">
        <f t="array" ref="T12">_xlfn.LET(_xlpm.v,_xlfn.XLOOKUP(G12,tblValutazioni[TipoValutazione],tblValutazioni[NE],""),IF(_xlpm.v="","",_xlpm.v))</f>
        <v>0</v>
      </c>
      <c r="U12" s="18">
        <f>IF(_xlfn.XLOOKUP($A12, tblRisposte[ItemKey], tblRisposte[Valore], "")="Non eseguito","X",0)</f>
        <v>0</v>
      </c>
      <c r="V12" s="1">
        <f t="shared" si="5"/>
        <v>0</v>
      </c>
      <c r="W12">
        <f>COUNTIF(I12,"x")+COUNTIF(L12,"x")+COUNTIF(O12,"x")+COUNTIF(R12,"x")+COUNTIF(U12,"x")</f>
        <v>0</v>
      </c>
      <c r="X12" t="str">
        <f>IF(COUNTIF(I12:U12,"X")=1,"OK","errore")</f>
        <v>errore</v>
      </c>
      <c r="Z12" t="s">
        <v>719</v>
      </c>
      <c r="AA12" s="13">
        <f>J42/AA11</f>
        <v>0</v>
      </c>
    </row>
    <row r="13" spans="1:31" ht="15" customHeight="1">
      <c r="A13" t="str">
        <f>IF(G13&lt;&gt;"",ScenaAttiva&amp;"_"&amp;AB$4&amp;TEXT(COUNTIF($G$3:G13,"&lt;&gt;"),"0000"),"")</f>
        <v>A_ASM0010</v>
      </c>
      <c r="B13">
        <f>IF(A13&lt;&gt;"",SquadraAttiva,"")</f>
        <v>3</v>
      </c>
      <c r="C13" t="str">
        <f t="shared" si="0"/>
        <v>3-A_ASM0010</v>
      </c>
      <c r="D13">
        <f>IFERROR(_xlfn.XLOOKUP(C13,tblRisposte[idValutazione],tblRisposte[Valore],""),"")</f>
        <v>0</v>
      </c>
      <c r="F13" s="78" t="s">
        <v>258</v>
      </c>
      <c r="G13" t="s">
        <v>35</v>
      </c>
      <c r="H13" cm="1">
        <f t="array" ref="H13">_xlfn.LET(_xlpm.v,_xlfn.XLOOKUP(G13,tblValutazioni[TipoValutazione],tblValutazioni[MB],""),IF(_xlpm.v="","",_xlpm.v))</f>
        <v>5</v>
      </c>
      <c r="I13" s="18">
        <f>IF(_xlfn.XLOOKUP($A13, tblRisposte[ItemKey],tblRisposte[Valore],"")="Molto bene","X",0)</f>
        <v>0</v>
      </c>
      <c r="J13" s="1">
        <f t="shared" si="1"/>
        <v>0</v>
      </c>
      <c r="K13" cm="1">
        <f t="array" ref="K13">_xlfn.LET(_xlpm.v,_xlfn.XLOOKUP(G13,tblValutazioni[TipoValutazione],tblValutazioni[BE],""),IF(_xlpm.v="","",_xlpm.v))</f>
        <v>4</v>
      </c>
      <c r="L13" s="18">
        <f>IF(_xlfn.XLOOKUP($A13, tblRisposte[ItemKey], tblRisposte[Valore], "")="Bene","X",0)</f>
        <v>0</v>
      </c>
      <c r="M13" s="1">
        <f t="shared" si="2"/>
        <v>0</v>
      </c>
      <c r="N13" cm="1">
        <f t="array" ref="N13">_xlfn.LET(_xlpm.v,_xlfn.XLOOKUP(G13,tblValutazioni[TipoValutazione],tblValutazioni[SU],""),IF(_xlpm.v="","",_xlpm.v))</f>
        <v>2</v>
      </c>
      <c r="O13" s="18">
        <f>IF(_xlfn.XLOOKUP($A13, tblRisposte[ItemKey], tblRisposte[Valore], "")="Soddisfacente","X",0)</f>
        <v>0</v>
      </c>
      <c r="P13" s="1">
        <f t="shared" si="3"/>
        <v>0</v>
      </c>
      <c r="Q13" cm="1">
        <f t="array" ref="Q13">_xlfn.LET(_xlpm.v,_xlfn.XLOOKUP(G13,tblValutazioni[TipoValutazione],tblValutazioni[IN],""),IF(_xlpm.v="","",_xlpm.v))</f>
        <v>1</v>
      </c>
      <c r="R13" s="18">
        <f>IF(_xlfn.XLOOKUP($A13, tblRisposte[ItemKey], tblRisposte[Valore], "")="Insufficiente","X",0)</f>
        <v>0</v>
      </c>
      <c r="S13" s="1">
        <f t="shared" si="4"/>
        <v>0</v>
      </c>
      <c r="T13" cm="1">
        <f t="array" ref="T13">_xlfn.LET(_xlpm.v,_xlfn.XLOOKUP(G13,tblValutazioni[TipoValutazione],tblValutazioni[NE],""),IF(_xlpm.v="","",_xlpm.v))</f>
        <v>0</v>
      </c>
      <c r="U13" s="18">
        <f>IF(_xlfn.XLOOKUP($A13, tblRisposte[ItemKey], tblRisposte[Valore], "")="Non eseguito","X",0)</f>
        <v>0</v>
      </c>
      <c r="V13" s="1">
        <f t="shared" si="5"/>
        <v>0</v>
      </c>
      <c r="W13">
        <f>COUNTIF(I13,"x")+COUNTIF(L13,"x")+COUNTIF(O13,"x")+COUNTIF(R13,"x")+COUNTIF(U13,"x")</f>
        <v>0</v>
      </c>
      <c r="X13" t="str">
        <f>IF(COUNTIF(I13:U13,"X")=1,"OK","errore")</f>
        <v>errore</v>
      </c>
    </row>
    <row r="14" spans="1:31" ht="15" customHeight="1">
      <c r="A14" t="str">
        <f>IF(G14&lt;&gt;"",ScenaAttiva&amp;"_"&amp;AB$4&amp;TEXT(COUNTIF($G$3:G14,"&lt;&gt;"),"0000"),"")</f>
        <v>A_ASM0011</v>
      </c>
      <c r="B14">
        <f>IF(A14&lt;&gt;"",SquadraAttiva,"")</f>
        <v>3</v>
      </c>
      <c r="C14" t="str">
        <f t="shared" si="0"/>
        <v>3-A_ASM0011</v>
      </c>
      <c r="D14">
        <f>IFERROR(_xlfn.XLOOKUP(C14,tblRisposte[idValutazione],tblRisposte[Valore],""),"")</f>
        <v>0</v>
      </c>
      <c r="F14" s="78" t="s">
        <v>187</v>
      </c>
      <c r="G14" t="s">
        <v>35</v>
      </c>
      <c r="H14" cm="1">
        <f t="array" ref="H14">_xlfn.LET(_xlpm.v,_xlfn.XLOOKUP(G14,tblValutazioni[TipoValutazione],tblValutazioni[MB],""),IF(_xlpm.v="","",_xlpm.v))</f>
        <v>5</v>
      </c>
      <c r="I14" s="18">
        <f>IF(_xlfn.XLOOKUP($A14, tblRisposte[ItemKey],tblRisposte[Valore],"")="Molto bene","X",0)</f>
        <v>0</v>
      </c>
      <c r="J14" s="1">
        <f t="shared" si="1"/>
        <v>0</v>
      </c>
      <c r="K14" cm="1">
        <f t="array" ref="K14">_xlfn.LET(_xlpm.v,_xlfn.XLOOKUP(G14,tblValutazioni[TipoValutazione],tblValutazioni[BE],""),IF(_xlpm.v="","",_xlpm.v))</f>
        <v>4</v>
      </c>
      <c r="L14" s="18">
        <f>IF(_xlfn.XLOOKUP($A14, tblRisposte[ItemKey], tblRisposte[Valore], "")="Bene","X",0)</f>
        <v>0</v>
      </c>
      <c r="M14" s="1">
        <f t="shared" si="2"/>
        <v>0</v>
      </c>
      <c r="N14" cm="1">
        <f t="array" ref="N14">_xlfn.LET(_xlpm.v,_xlfn.XLOOKUP(G14,tblValutazioni[TipoValutazione],tblValutazioni[SU],""),IF(_xlpm.v="","",_xlpm.v))</f>
        <v>2</v>
      </c>
      <c r="O14" s="18">
        <f>IF(_xlfn.XLOOKUP($A14, tblRisposte[ItemKey], tblRisposte[Valore], "")="Soddisfacente","X",0)</f>
        <v>0</v>
      </c>
      <c r="P14" s="1">
        <f t="shared" si="3"/>
        <v>0</v>
      </c>
      <c r="Q14" cm="1">
        <f t="array" ref="Q14">_xlfn.LET(_xlpm.v,_xlfn.XLOOKUP(G14,tblValutazioni[TipoValutazione],tblValutazioni[IN],""),IF(_xlpm.v="","",_xlpm.v))</f>
        <v>1</v>
      </c>
      <c r="R14" s="18">
        <f>IF(_xlfn.XLOOKUP($A14, tblRisposte[ItemKey], tblRisposte[Valore], "")="Insufficiente","X",0)</f>
        <v>0</v>
      </c>
      <c r="S14" s="1">
        <f t="shared" si="4"/>
        <v>0</v>
      </c>
      <c r="T14" cm="1">
        <f t="array" ref="T14">_xlfn.LET(_xlpm.v,_xlfn.XLOOKUP(G14,tblValutazioni[TipoValutazione],tblValutazioni[NE],""),IF(_xlpm.v="","",_xlpm.v))</f>
        <v>0</v>
      </c>
      <c r="U14" s="18">
        <f>IF(_xlfn.XLOOKUP($A14, tblRisposte[ItemKey], tblRisposte[Valore], "")="Non eseguito","X",0)</f>
        <v>0</v>
      </c>
      <c r="V14" s="1">
        <f t="shared" si="5"/>
        <v>0</v>
      </c>
      <c r="W14">
        <f>COUNTIF(I14,"x")+COUNTIF(L14,"x")+COUNTIF(O14,"x")+COUNTIF(R14,"x")+COUNTIF(U14,"x")</f>
        <v>0</v>
      </c>
      <c r="X14" t="str">
        <f>IF(COUNTIF(I14:U14,"X")=1,"OK","errore")</f>
        <v>errore</v>
      </c>
      <c r="Y14" t="str">
        <f>IF(B14="SEP",IF(I14="x",H14,IF(L14="X",K14,IF(O14="x",N14,IF(R14="X",Q14,IF(U14="X",T14,""))))),"")</f>
        <v/>
      </c>
      <c r="Z14" t="s">
        <v>720</v>
      </c>
      <c r="AA14">
        <f>SUMIF(B2:B40,"SEP",H2:H40)</f>
        <v>0</v>
      </c>
    </row>
    <row r="15" spans="1:31" ht="15" customHeight="1">
      <c r="A15" t="str">
        <f>IF(G15&lt;&gt;"",ScenaAttiva&amp;"_"&amp;AB$4&amp;TEXT(COUNTIF($G$3:G15,"&lt;&gt;"),"0000"),"")</f>
        <v>A_ASM0012</v>
      </c>
      <c r="B15">
        <f>IF(A15&lt;&gt;"",SquadraAttiva,"")</f>
        <v>3</v>
      </c>
      <c r="C15" t="str">
        <f t="shared" si="0"/>
        <v>3-A_ASM0012</v>
      </c>
      <c r="D15">
        <f>IFERROR(_xlfn.XLOOKUP(C15,tblRisposte[idValutazione],tblRisposte[Valore],""),"")</f>
        <v>0</v>
      </c>
      <c r="F15" s="78" t="s">
        <v>261</v>
      </c>
      <c r="G15" t="s">
        <v>35</v>
      </c>
      <c r="H15" cm="1">
        <f t="array" ref="H15">_xlfn.LET(_xlpm.v,_xlfn.XLOOKUP(G15,tblValutazioni[TipoValutazione],tblValutazioni[MB],""),IF(_xlpm.v="","",_xlpm.v))</f>
        <v>5</v>
      </c>
      <c r="I15" s="18">
        <f>IF(_xlfn.XLOOKUP($A15, tblRisposte[ItemKey],tblRisposte[Valore],"")="Molto bene","X",0)</f>
        <v>0</v>
      </c>
      <c r="J15" s="1">
        <f t="shared" si="1"/>
        <v>0</v>
      </c>
      <c r="K15" cm="1">
        <f t="array" ref="K15">_xlfn.LET(_xlpm.v,_xlfn.XLOOKUP(G15,tblValutazioni[TipoValutazione],tblValutazioni[BE],""),IF(_xlpm.v="","",_xlpm.v))</f>
        <v>4</v>
      </c>
      <c r="L15" s="18">
        <f>IF(_xlfn.XLOOKUP($A15, tblRisposte[ItemKey], tblRisposte[Valore], "")="Bene","X",0)</f>
        <v>0</v>
      </c>
      <c r="M15" s="1">
        <f t="shared" si="2"/>
        <v>0</v>
      </c>
      <c r="N15" cm="1">
        <f t="array" ref="N15">_xlfn.LET(_xlpm.v,_xlfn.XLOOKUP(G15,tblValutazioni[TipoValutazione],tblValutazioni[SU],""),IF(_xlpm.v="","",_xlpm.v))</f>
        <v>2</v>
      </c>
      <c r="O15" s="18">
        <f>IF(_xlfn.XLOOKUP($A15, tblRisposte[ItemKey], tblRisposte[Valore], "")="Soddisfacente","X",0)</f>
        <v>0</v>
      </c>
      <c r="P15" s="1">
        <f t="shared" si="3"/>
        <v>0</v>
      </c>
      <c r="Q15" cm="1">
        <f t="array" ref="Q15">_xlfn.LET(_xlpm.v,_xlfn.XLOOKUP(G15,tblValutazioni[TipoValutazione],tblValutazioni[IN],""),IF(_xlpm.v="","",_xlpm.v))</f>
        <v>1</v>
      </c>
      <c r="R15" s="18">
        <f>IF(_xlfn.XLOOKUP($A15, tblRisposte[ItemKey], tblRisposte[Valore], "")="Insufficiente","X",0)</f>
        <v>0</v>
      </c>
      <c r="S15" s="1">
        <f t="shared" si="4"/>
        <v>0</v>
      </c>
      <c r="T15" cm="1">
        <f t="array" ref="T15">_xlfn.LET(_xlpm.v,_xlfn.XLOOKUP(G15,tblValutazioni[TipoValutazione],tblValutazioni[NE],""),IF(_xlpm.v="","",_xlpm.v))</f>
        <v>0</v>
      </c>
      <c r="U15" s="18">
        <f>IF(_xlfn.XLOOKUP($A15, tblRisposte[ItemKey], tblRisposte[Valore], "")="Non eseguito","X",0)</f>
        <v>0</v>
      </c>
      <c r="V15" s="1">
        <f t="shared" si="5"/>
        <v>0</v>
      </c>
      <c r="W15">
        <f>COUNTIF(I15,"x")+COUNTIF(L15,"x")+COUNTIF(O15,"x")+COUNTIF(R15,"x")+COUNTIF(U15,"x")</f>
        <v>0</v>
      </c>
      <c r="X15" t="str">
        <f>IF(COUNTIF(I15:U15,"X")=1,"OK","errore")</f>
        <v>errore</v>
      </c>
      <c r="Y15" t="str">
        <f>IF(B15="SEP",IF(I15="x",H15,IF(L15="X",K15,IF(O15="x",N15,IF(R15="X",Q15,IF(U15="X",T15,""))))),"")</f>
        <v/>
      </c>
    </row>
    <row r="16" spans="1:31" ht="15" customHeight="1">
      <c r="A16" t="str">
        <f>IF(G16&lt;&gt;"",ScenaAttiva&amp;"_"&amp;AB$4&amp;TEXT(COUNTIF($G$3:G16,"&lt;&gt;"),"0000"),"")</f>
        <v>A_ASM0013</v>
      </c>
      <c r="B16">
        <f>IF(A16&lt;&gt;"",SquadraAttiva,"")</f>
        <v>3</v>
      </c>
      <c r="C16" t="str">
        <f t="shared" si="0"/>
        <v>3-A_ASM0013</v>
      </c>
      <c r="D16">
        <f>IFERROR(_xlfn.XLOOKUP(C16,tblRisposte[idValutazione],tblRisposte[Valore],""),"")</f>
        <v>0</v>
      </c>
      <c r="F16" s="78" t="s">
        <v>263</v>
      </c>
      <c r="G16" t="s">
        <v>35</v>
      </c>
      <c r="H16" cm="1">
        <f t="array" ref="H16">_xlfn.LET(_xlpm.v,_xlfn.XLOOKUP(G16,tblValutazioni[TipoValutazione],tblValutazioni[MB],""),IF(_xlpm.v="","",_xlpm.v))</f>
        <v>5</v>
      </c>
      <c r="I16" s="18">
        <f>IF(_xlfn.XLOOKUP($A16, tblRisposte[ItemKey],tblRisposte[Valore],"")="Molto bene","X",0)</f>
        <v>0</v>
      </c>
      <c r="J16" s="1">
        <f t="shared" si="1"/>
        <v>0</v>
      </c>
      <c r="K16" cm="1">
        <f t="array" ref="K16">_xlfn.LET(_xlpm.v,_xlfn.XLOOKUP(G16,tblValutazioni[TipoValutazione],tblValutazioni[BE],""),IF(_xlpm.v="","",_xlpm.v))</f>
        <v>4</v>
      </c>
      <c r="L16" s="18">
        <f>IF(_xlfn.XLOOKUP($A16, tblRisposte[ItemKey], tblRisposte[Valore], "")="Bene","X",0)</f>
        <v>0</v>
      </c>
      <c r="M16" s="1">
        <f t="shared" si="2"/>
        <v>0</v>
      </c>
      <c r="N16" cm="1">
        <f t="array" ref="N16">_xlfn.LET(_xlpm.v,_xlfn.XLOOKUP(G16,tblValutazioni[TipoValutazione],tblValutazioni[SU],""),IF(_xlpm.v="","",_xlpm.v))</f>
        <v>2</v>
      </c>
      <c r="O16" s="18">
        <f>IF(_xlfn.XLOOKUP($A16, tblRisposte[ItemKey], tblRisposte[Valore], "")="Soddisfacente","X",0)</f>
        <v>0</v>
      </c>
      <c r="P16" s="1">
        <f t="shared" si="3"/>
        <v>0</v>
      </c>
      <c r="Q16" cm="1">
        <f t="array" ref="Q16">_xlfn.LET(_xlpm.v,_xlfn.XLOOKUP(G16,tblValutazioni[TipoValutazione],tblValutazioni[IN],""),IF(_xlpm.v="","",_xlpm.v))</f>
        <v>1</v>
      </c>
      <c r="R16" s="18">
        <f>IF(_xlfn.XLOOKUP($A16, tblRisposte[ItemKey], tblRisposte[Valore], "")="Insufficiente","X",0)</f>
        <v>0</v>
      </c>
      <c r="S16" s="1">
        <f t="shared" si="4"/>
        <v>0</v>
      </c>
      <c r="T16" cm="1">
        <f t="array" ref="T16">_xlfn.LET(_xlpm.v,_xlfn.XLOOKUP(G16,tblValutazioni[TipoValutazione],tblValutazioni[NE],""),IF(_xlpm.v="","",_xlpm.v))</f>
        <v>0</v>
      </c>
      <c r="U16" s="18">
        <f>IF(_xlfn.XLOOKUP($A16, tblRisposte[ItemKey], tblRisposte[Valore], "")="Non eseguito","X",0)</f>
        <v>0</v>
      </c>
      <c r="V16" s="1">
        <f t="shared" si="5"/>
        <v>0</v>
      </c>
      <c r="W16">
        <f>COUNTIF(I16,"x")+COUNTIF(L16,"x")+COUNTIF(O16,"x")+COUNTIF(R16,"x")+COUNTIF(U16,"x")</f>
        <v>0</v>
      </c>
      <c r="X16" t="str">
        <f>IF(COUNTIF(I16:U16,"X")=1,"OK","errore")</f>
        <v>errore</v>
      </c>
      <c r="Y16" t="str">
        <f>IF(B16="SEP",IF(I16="x",H16,IF(L16="X",K16,IF(O16="x",N16,IF(R16="X",Q16,IF(U16="X",T16,""))))),"")</f>
        <v/>
      </c>
    </row>
    <row r="17" spans="1:25" ht="15" customHeight="1">
      <c r="A17" t="str">
        <f>IF(G17&lt;&gt;"",ScenaAttiva&amp;"_"&amp;AB$4&amp;TEXT(COUNTIF($G$3:G17,"&lt;&gt;"),"0000"),"")</f>
        <v>A_ASM0014</v>
      </c>
      <c r="B17">
        <f>IF(A17&lt;&gt;"",SquadraAttiva,"")</f>
        <v>3</v>
      </c>
      <c r="C17" t="str">
        <f t="shared" si="0"/>
        <v>3-A_ASM0014</v>
      </c>
      <c r="D17">
        <f>IFERROR(_xlfn.XLOOKUP(C17,tblRisposte[idValutazione],tblRisposte[Valore],""),"")</f>
        <v>0</v>
      </c>
      <c r="F17" s="78" t="s">
        <v>265</v>
      </c>
      <c r="G17" t="s">
        <v>35</v>
      </c>
      <c r="H17" cm="1">
        <f t="array" ref="H17">_xlfn.LET(_xlpm.v,_xlfn.XLOOKUP(G17,tblValutazioni[TipoValutazione],tblValutazioni[MB],""),IF(_xlpm.v="","",_xlpm.v))</f>
        <v>5</v>
      </c>
      <c r="I17" s="18">
        <f>IF(_xlfn.XLOOKUP($A17, tblRisposte[ItemKey],tblRisposte[Valore],"")="Molto bene","X",0)</f>
        <v>0</v>
      </c>
      <c r="J17" s="1">
        <f t="shared" si="1"/>
        <v>0</v>
      </c>
      <c r="K17" cm="1">
        <f t="array" ref="K17">_xlfn.LET(_xlpm.v,_xlfn.XLOOKUP(G17,tblValutazioni[TipoValutazione],tblValutazioni[BE],""),IF(_xlpm.v="","",_xlpm.v))</f>
        <v>4</v>
      </c>
      <c r="L17" s="18">
        <f>IF(_xlfn.XLOOKUP($A17, tblRisposte[ItemKey], tblRisposte[Valore], "")="Bene","X",0)</f>
        <v>0</v>
      </c>
      <c r="M17" s="1">
        <f t="shared" si="2"/>
        <v>0</v>
      </c>
      <c r="N17" cm="1">
        <f t="array" ref="N17">_xlfn.LET(_xlpm.v,_xlfn.XLOOKUP(G17,tblValutazioni[TipoValutazione],tblValutazioni[SU],""),IF(_xlpm.v="","",_xlpm.v))</f>
        <v>2</v>
      </c>
      <c r="O17" s="18">
        <f>IF(_xlfn.XLOOKUP($A17, tblRisposte[ItemKey], tblRisposte[Valore], "")="Soddisfacente","X",0)</f>
        <v>0</v>
      </c>
      <c r="P17" s="1">
        <f t="shared" si="3"/>
        <v>0</v>
      </c>
      <c r="Q17" cm="1">
        <f t="array" ref="Q17">_xlfn.LET(_xlpm.v,_xlfn.XLOOKUP(G17,tblValutazioni[TipoValutazione],tblValutazioni[IN],""),IF(_xlpm.v="","",_xlpm.v))</f>
        <v>1</v>
      </c>
      <c r="R17" s="18">
        <f>IF(_xlfn.XLOOKUP($A17, tblRisposte[ItemKey], tblRisposte[Valore], "")="Insufficiente","X",0)</f>
        <v>0</v>
      </c>
      <c r="S17" s="1">
        <f t="shared" si="4"/>
        <v>0</v>
      </c>
      <c r="T17" cm="1">
        <f t="array" ref="T17">_xlfn.LET(_xlpm.v,_xlfn.XLOOKUP(G17,tblValutazioni[TipoValutazione],tblValutazioni[NE],""),IF(_xlpm.v="","",_xlpm.v))</f>
        <v>0</v>
      </c>
      <c r="U17" s="18">
        <f>IF(_xlfn.XLOOKUP($A17, tblRisposte[ItemKey], tblRisposte[Valore], "")="Non eseguito","X",0)</f>
        <v>0</v>
      </c>
      <c r="V17" s="1">
        <f t="shared" si="5"/>
        <v>0</v>
      </c>
      <c r="W17">
        <f>COUNTIF(I17,"x")+COUNTIF(L17,"x")+COUNTIF(O17,"x")+COUNTIF(R17,"x")+COUNTIF(U17,"x")</f>
        <v>0</v>
      </c>
      <c r="X17" t="str">
        <f>IF(COUNTIF(I17:U17,"X")=1,"OK","errore")</f>
        <v>errore</v>
      </c>
      <c r="Y17" t="str">
        <f>IF(B17="SEP",IF(I17="x",H17,IF(L17="X",K17,IF(O17="x",N17,IF(R17="X",Q17,IF(U17="X",T17,""))))),"")</f>
        <v/>
      </c>
    </row>
    <row r="18" spans="1:25" ht="15" customHeight="1">
      <c r="A18" t="str">
        <f>IF(G18&lt;&gt;"",ScenaAttiva&amp;"_"&amp;AB$4&amp;TEXT(COUNTIF($G$3:G18,"&lt;&gt;"),"0000"),"")</f>
        <v>A_ASM0015</v>
      </c>
      <c r="B18">
        <f>IF(A18&lt;&gt;"",SquadraAttiva,"")</f>
        <v>3</v>
      </c>
      <c r="C18" t="str">
        <f t="shared" si="0"/>
        <v>3-A_ASM0015</v>
      </c>
      <c r="D18">
        <f>IFERROR(_xlfn.XLOOKUP(C18,tblRisposte[idValutazione],tblRisposte[Valore],""),"")</f>
        <v>0</v>
      </c>
      <c r="F18" s="78" t="s">
        <v>191</v>
      </c>
      <c r="G18" t="s">
        <v>35</v>
      </c>
      <c r="H18" cm="1">
        <f t="array" ref="H18">_xlfn.LET(_xlpm.v,_xlfn.XLOOKUP(G18,tblValutazioni[TipoValutazione],tblValutazioni[MB],""),IF(_xlpm.v="","",_xlpm.v))</f>
        <v>5</v>
      </c>
      <c r="I18" s="18">
        <f>IF(_xlfn.XLOOKUP($A18, tblRisposte[ItemKey],tblRisposte[Valore],"")="Molto bene","X",0)</f>
        <v>0</v>
      </c>
      <c r="J18" s="1">
        <f t="shared" si="1"/>
        <v>0</v>
      </c>
      <c r="K18" cm="1">
        <f t="array" ref="K18">_xlfn.LET(_xlpm.v,_xlfn.XLOOKUP(G18,tblValutazioni[TipoValutazione],tblValutazioni[BE],""),IF(_xlpm.v="","",_xlpm.v))</f>
        <v>4</v>
      </c>
      <c r="L18" s="18">
        <f>IF(_xlfn.XLOOKUP($A18, tblRisposte[ItemKey], tblRisposte[Valore], "")="Bene","X",0)</f>
        <v>0</v>
      </c>
      <c r="M18" s="1">
        <f t="shared" si="2"/>
        <v>0</v>
      </c>
      <c r="N18" cm="1">
        <f t="array" ref="N18">_xlfn.LET(_xlpm.v,_xlfn.XLOOKUP(G18,tblValutazioni[TipoValutazione],tblValutazioni[SU],""),IF(_xlpm.v="","",_xlpm.v))</f>
        <v>2</v>
      </c>
      <c r="O18" s="18">
        <f>IF(_xlfn.XLOOKUP($A18, tblRisposte[ItemKey], tblRisposte[Valore], "")="Soddisfacente","X",0)</f>
        <v>0</v>
      </c>
      <c r="P18" s="1">
        <f t="shared" si="3"/>
        <v>0</v>
      </c>
      <c r="Q18" cm="1">
        <f t="array" ref="Q18">_xlfn.LET(_xlpm.v,_xlfn.XLOOKUP(G18,tblValutazioni[TipoValutazione],tblValutazioni[IN],""),IF(_xlpm.v="","",_xlpm.v))</f>
        <v>1</v>
      </c>
      <c r="R18" s="18">
        <f>IF(_xlfn.XLOOKUP($A18, tblRisposte[ItemKey], tblRisposte[Valore], "")="Insufficiente","X",0)</f>
        <v>0</v>
      </c>
      <c r="S18" s="1">
        <f t="shared" si="4"/>
        <v>0</v>
      </c>
      <c r="T18" cm="1">
        <f t="array" ref="T18">_xlfn.LET(_xlpm.v,_xlfn.XLOOKUP(G18,tblValutazioni[TipoValutazione],tblValutazioni[NE],""),IF(_xlpm.v="","",_xlpm.v))</f>
        <v>0</v>
      </c>
      <c r="U18" s="18">
        <f>IF(_xlfn.XLOOKUP($A18, tblRisposte[ItemKey], tblRisposte[Valore], "")="Non eseguito","X",0)</f>
        <v>0</v>
      </c>
      <c r="V18" s="1">
        <f t="shared" si="5"/>
        <v>0</v>
      </c>
      <c r="W18">
        <f>COUNTIF(I18,"x")+COUNTIF(L18,"x")+COUNTIF(O18,"x")+COUNTIF(R18,"x")+COUNTIF(U18,"x")</f>
        <v>0</v>
      </c>
      <c r="X18" t="str">
        <f>IF(COUNTIF(I18:U18,"X")=1,"OK","errore")</f>
        <v>errore</v>
      </c>
      <c r="Y18" t="str">
        <f>IF(B18="SEP",IF(I18="x",H18,IF(L18="X",K18,IF(O18="x",N18,IF(R18="X",Q18,IF(U18="X",T18,""))))),"")</f>
        <v/>
      </c>
    </row>
    <row r="19" spans="1:25" ht="15" customHeight="1">
      <c r="A19" t="str">
        <f>IF(G19&lt;&gt;"",ScenaAttiva&amp;"_"&amp;AB$4&amp;TEXT(COUNTIF($G$3:G19,"&lt;&gt;"),"0000"),"")</f>
        <v>A_ASM0016</v>
      </c>
      <c r="B19">
        <f>IF(A19&lt;&gt;"",SquadraAttiva,"")</f>
        <v>3</v>
      </c>
      <c r="C19" t="str">
        <f t="shared" si="0"/>
        <v>3-A_ASM0016</v>
      </c>
      <c r="D19">
        <f>IFERROR(_xlfn.XLOOKUP(C19,tblRisposte[idValutazione],tblRisposte[Valore],""),"")</f>
        <v>0</v>
      </c>
      <c r="F19" s="78" t="s">
        <v>268</v>
      </c>
      <c r="G19" t="s">
        <v>36</v>
      </c>
      <c r="H19" cm="1">
        <f t="array" ref="H19">_xlfn.LET(_xlpm.v,_xlfn.XLOOKUP(G19,tblValutazioni[TipoValutazione],tblValutazioni[MB],""),IF(_xlpm.v="","",_xlpm.v))</f>
        <v>3</v>
      </c>
      <c r="I19" s="18">
        <f>IF(_xlfn.XLOOKUP($A19, tblRisposte[ItemKey],tblRisposte[Valore],"")="Molto bene","X",0)</f>
        <v>0</v>
      </c>
      <c r="J19" s="1">
        <f t="shared" si="1"/>
        <v>0</v>
      </c>
      <c r="K19" t="str" cm="1">
        <f t="array" ref="K19">_xlfn.LET(_xlpm.v,_xlfn.XLOOKUP(G19,tblValutazioni[TipoValutazione],tblValutazioni[BE],""),IF(_xlpm.v="","",_xlpm.v))</f>
        <v/>
      </c>
      <c r="L19" s="18">
        <f>IF(_xlfn.XLOOKUP($A19, tblRisposte[ItemKey], tblRisposte[Valore], "")="Bene","X",0)</f>
        <v>0</v>
      </c>
      <c r="M19" s="1">
        <f t="shared" si="2"/>
        <v>0</v>
      </c>
      <c r="N19" cm="1">
        <f t="array" ref="N19">_xlfn.LET(_xlpm.v,_xlfn.XLOOKUP(G19,tblValutazioni[TipoValutazione],tblValutazioni[SU],""),IF(_xlpm.v="","",_xlpm.v))</f>
        <v>1</v>
      </c>
      <c r="O19" s="18">
        <f>IF(_xlfn.XLOOKUP($A19, tblRisposte[ItemKey], tblRisposte[Valore], "")="Soddisfacente","X",0)</f>
        <v>0</v>
      </c>
      <c r="P19" s="1">
        <f t="shared" si="3"/>
        <v>0</v>
      </c>
      <c r="Q19" t="str" cm="1">
        <f t="array" ref="Q19">_xlfn.LET(_xlpm.v,_xlfn.XLOOKUP(G19,tblValutazioni[TipoValutazione],tblValutazioni[IN],""),IF(_xlpm.v="","",_xlpm.v))</f>
        <v/>
      </c>
      <c r="R19" s="18">
        <f>IF(_xlfn.XLOOKUP($A19, tblRisposte[ItemKey], tblRisposte[Valore], "")="Insufficiente","X",0)</f>
        <v>0</v>
      </c>
      <c r="S19" s="1">
        <f t="shared" si="4"/>
        <v>0</v>
      </c>
      <c r="T19" cm="1">
        <f t="array" ref="T19">_xlfn.LET(_xlpm.v,_xlfn.XLOOKUP(G19,tblValutazioni[TipoValutazione],tblValutazioni[NE],""),IF(_xlpm.v="","",_xlpm.v))</f>
        <v>0</v>
      </c>
      <c r="U19" s="18">
        <f>IF(_xlfn.XLOOKUP($A19, tblRisposte[ItemKey], tblRisposte[Valore], "")="Non eseguito","X",0)</f>
        <v>0</v>
      </c>
      <c r="V19" s="1">
        <f t="shared" si="5"/>
        <v>0</v>
      </c>
      <c r="W19">
        <f>COUNTIF(I19,"x")+COUNTIF(L19,"x")+COUNTIF(O19,"x")+COUNTIF(R19,"x")+COUNTIF(U19,"x")</f>
        <v>0</v>
      </c>
      <c r="X19" t="str">
        <f>IF(COUNTIF(I19:U19,"X")=1,"OK","errore")</f>
        <v>errore</v>
      </c>
      <c r="Y19" t="str">
        <f>IF(B19="SEP",IF(I19="x",H19,IF(L19="X",K19,IF(O19="x",N19,IF(R19="X",Q19,IF(U19="X",T19,""))))),"")</f>
        <v/>
      </c>
    </row>
    <row r="20" spans="1:25" ht="15" customHeight="1">
      <c r="A20" t="str">
        <f>IF(G20&lt;&gt;"",ScenaAttiva&amp;"_"&amp;AB$4&amp;TEXT(COUNTIF($G$3:G20,"&lt;&gt;"),"0000"),"")</f>
        <v>A_ASM0017</v>
      </c>
      <c r="B20">
        <f>IF(A20&lt;&gt;"",SquadraAttiva,"")</f>
        <v>3</v>
      </c>
      <c r="C20" t="str">
        <f t="shared" si="0"/>
        <v>3-A_ASM0017</v>
      </c>
      <c r="D20">
        <f>IFERROR(_xlfn.XLOOKUP(C20,tblRisposte[idValutazione],tblRisposte[Valore],""),"")</f>
        <v>0</v>
      </c>
      <c r="F20" s="78" t="s">
        <v>238</v>
      </c>
      <c r="G20" t="s">
        <v>36</v>
      </c>
      <c r="H20" cm="1">
        <f t="array" ref="H20">_xlfn.LET(_xlpm.v,_xlfn.XLOOKUP(G20,tblValutazioni[TipoValutazione],tblValutazioni[MB],""),IF(_xlpm.v="","",_xlpm.v))</f>
        <v>3</v>
      </c>
      <c r="I20" s="18">
        <f>IF(_xlfn.XLOOKUP($A20, tblRisposte[ItemKey],tblRisposte[Valore],"")="Molto bene","X",0)</f>
        <v>0</v>
      </c>
      <c r="J20" s="1">
        <f t="shared" si="1"/>
        <v>0</v>
      </c>
      <c r="K20" t="str" cm="1">
        <f t="array" ref="K20">_xlfn.LET(_xlpm.v,_xlfn.XLOOKUP(G20,tblValutazioni[TipoValutazione],tblValutazioni[BE],""),IF(_xlpm.v="","",_xlpm.v))</f>
        <v/>
      </c>
      <c r="L20" s="18">
        <f>IF(_xlfn.XLOOKUP($A20, tblRisposte[ItemKey], tblRisposte[Valore], "")="Bene","X",0)</f>
        <v>0</v>
      </c>
      <c r="M20" s="1">
        <f t="shared" si="2"/>
        <v>0</v>
      </c>
      <c r="N20" cm="1">
        <f t="array" ref="N20">_xlfn.LET(_xlpm.v,_xlfn.XLOOKUP(G20,tblValutazioni[TipoValutazione],tblValutazioni[SU],""),IF(_xlpm.v="","",_xlpm.v))</f>
        <v>1</v>
      </c>
      <c r="O20" s="18">
        <f>IF(_xlfn.XLOOKUP($A20, tblRisposte[ItemKey], tblRisposte[Valore], "")="Soddisfacente","X",0)</f>
        <v>0</v>
      </c>
      <c r="P20" s="1">
        <f t="shared" si="3"/>
        <v>0</v>
      </c>
      <c r="Q20" t="str" cm="1">
        <f t="array" ref="Q20">_xlfn.LET(_xlpm.v,_xlfn.XLOOKUP(G20,tblValutazioni[TipoValutazione],tblValutazioni[IN],""),IF(_xlpm.v="","",_xlpm.v))</f>
        <v/>
      </c>
      <c r="R20" s="18">
        <f>IF(_xlfn.XLOOKUP($A20, tblRisposte[ItemKey], tblRisposte[Valore], "")="Insufficiente","X",0)</f>
        <v>0</v>
      </c>
      <c r="S20" s="1">
        <f t="shared" si="4"/>
        <v>0</v>
      </c>
      <c r="T20" cm="1">
        <f t="array" ref="T20">_xlfn.LET(_xlpm.v,_xlfn.XLOOKUP(G20,tblValutazioni[TipoValutazione],tblValutazioni[NE],""),IF(_xlpm.v="","",_xlpm.v))</f>
        <v>0</v>
      </c>
      <c r="U20" s="18">
        <f>IF(_xlfn.XLOOKUP($A20, tblRisposte[ItemKey], tblRisposte[Valore], "")="Non eseguito","X",0)</f>
        <v>0</v>
      </c>
      <c r="V20" s="1">
        <f t="shared" si="5"/>
        <v>0</v>
      </c>
      <c r="W20">
        <f>COUNTIF(I20,"x")+COUNTIF(L20,"x")+COUNTIF(O20,"x")+COUNTIF(R20,"x")+COUNTIF(U20,"x")</f>
        <v>0</v>
      </c>
      <c r="X20" t="str">
        <f>IF(COUNTIF(I20:U20,"X")=1,"OK","errore")</f>
        <v>errore</v>
      </c>
      <c r="Y20" t="str">
        <f>IF(B20="SEP",IF(I20="x",H20,IF(L20="X",K20,IF(O20="x",N20,IF(R20="X",Q20,IF(U20="X",T20,""))))),"")</f>
        <v/>
      </c>
    </row>
    <row r="21" spans="1:25" ht="15" customHeight="1">
      <c r="A21" t="str">
        <f>IF(G21&lt;&gt;"",ScenaAttiva&amp;"_"&amp;AB$4&amp;TEXT(COUNTIF($G$3:G21,"&lt;&gt;"),"0000"),"")</f>
        <v>A_ASM0018</v>
      </c>
      <c r="B21">
        <f>IF(A21&lt;&gt;"",SquadraAttiva,"")</f>
        <v>3</v>
      </c>
      <c r="C21" t="str">
        <f t="shared" si="0"/>
        <v>3-A_ASM0018</v>
      </c>
      <c r="D21">
        <f>IFERROR(_xlfn.XLOOKUP(C21,tblRisposte[idValutazione],tblRisposte[Valore],""),"")</f>
        <v>0</v>
      </c>
      <c r="F21" s="78" t="s">
        <v>271</v>
      </c>
      <c r="G21" t="s">
        <v>35</v>
      </c>
      <c r="H21" cm="1">
        <f t="array" ref="H21">_xlfn.LET(_xlpm.v,_xlfn.XLOOKUP(G21,tblValutazioni[TipoValutazione],tblValutazioni[MB],""),IF(_xlpm.v="","",_xlpm.v))</f>
        <v>5</v>
      </c>
      <c r="I21" s="18">
        <f>IF(_xlfn.XLOOKUP($A21, tblRisposte[ItemKey],tblRisposte[Valore],"")="Molto bene","X",0)</f>
        <v>0</v>
      </c>
      <c r="J21" s="1">
        <f t="shared" si="1"/>
        <v>0</v>
      </c>
      <c r="K21" cm="1">
        <f t="array" ref="K21">_xlfn.LET(_xlpm.v,_xlfn.XLOOKUP(G21,tblValutazioni[TipoValutazione],tblValutazioni[BE],""),IF(_xlpm.v="","",_xlpm.v))</f>
        <v>4</v>
      </c>
      <c r="L21" s="18">
        <f>IF(_xlfn.XLOOKUP($A21, tblRisposte[ItemKey], tblRisposte[Valore], "")="Bene","X",0)</f>
        <v>0</v>
      </c>
      <c r="M21" s="1">
        <f t="shared" si="2"/>
        <v>0</v>
      </c>
      <c r="N21" cm="1">
        <f t="array" ref="N21">_xlfn.LET(_xlpm.v,_xlfn.XLOOKUP(G21,tblValutazioni[TipoValutazione],tblValutazioni[SU],""),IF(_xlpm.v="","",_xlpm.v))</f>
        <v>2</v>
      </c>
      <c r="O21" s="18">
        <f>IF(_xlfn.XLOOKUP($A21, tblRisposte[ItemKey], tblRisposte[Valore], "")="Soddisfacente","X",0)</f>
        <v>0</v>
      </c>
      <c r="P21" s="1">
        <f t="shared" si="3"/>
        <v>0</v>
      </c>
      <c r="Q21" cm="1">
        <f t="array" ref="Q21">_xlfn.LET(_xlpm.v,_xlfn.XLOOKUP(G21,tblValutazioni[TipoValutazione],tblValutazioni[IN],""),IF(_xlpm.v="","",_xlpm.v))</f>
        <v>1</v>
      </c>
      <c r="R21" s="18">
        <f>IF(_xlfn.XLOOKUP($A21, tblRisposte[ItemKey], tblRisposte[Valore], "")="Insufficiente","X",0)</f>
        <v>0</v>
      </c>
      <c r="S21" s="1">
        <f t="shared" si="4"/>
        <v>0</v>
      </c>
      <c r="T21" cm="1">
        <f t="array" ref="T21">_xlfn.LET(_xlpm.v,_xlfn.XLOOKUP(G21,tblValutazioni[TipoValutazione],tblValutazioni[NE],""),IF(_xlpm.v="","",_xlpm.v))</f>
        <v>0</v>
      </c>
      <c r="U21" s="18">
        <f>IF(_xlfn.XLOOKUP($A21, tblRisposte[ItemKey], tblRisposte[Valore], "")="Non eseguito","X",0)</f>
        <v>0</v>
      </c>
      <c r="V21" s="1">
        <f t="shared" si="5"/>
        <v>0</v>
      </c>
      <c r="W21">
        <f>COUNTIF(I21,"x")+COUNTIF(L21,"x")+COUNTIF(O21,"x")+COUNTIF(R21,"x")+COUNTIF(U21,"x")</f>
        <v>0</v>
      </c>
      <c r="X21" t="str">
        <f>IF(COUNTIF(I21:U21,"X")=1,"OK","errore")</f>
        <v>errore</v>
      </c>
    </row>
    <row r="22" spans="1:25" ht="15" customHeight="1">
      <c r="A22" t="str">
        <f>IF(G22&lt;&gt;"",ScenaAttiva&amp;"_"&amp;AB$4&amp;TEXT(COUNTIF($G$3:G22,"&lt;&gt;"),"0000"),"")</f>
        <v>A_ASM0019</v>
      </c>
      <c r="B22">
        <f>IF(A22&lt;&gt;"",SquadraAttiva,"")</f>
        <v>3</v>
      </c>
      <c r="C22" t="str">
        <f t="shared" si="0"/>
        <v>3-A_ASM0019</v>
      </c>
      <c r="D22">
        <f>IFERROR(_xlfn.XLOOKUP(C22,tblRisposte[idValutazione],tblRisposte[Valore],""),"")</f>
        <v>0</v>
      </c>
      <c r="F22" s="78" t="s">
        <v>273</v>
      </c>
      <c r="G22" t="s">
        <v>36</v>
      </c>
      <c r="H22" cm="1">
        <f t="array" ref="H22">_xlfn.LET(_xlpm.v,_xlfn.XLOOKUP(G22,tblValutazioni[TipoValutazione],tblValutazioni[MB],""),IF(_xlpm.v="","",_xlpm.v))</f>
        <v>3</v>
      </c>
      <c r="I22" s="18">
        <f>IF(_xlfn.XLOOKUP($A22, tblRisposte[ItemKey],tblRisposte[Valore],"")="Molto bene","X",0)</f>
        <v>0</v>
      </c>
      <c r="J22" s="1">
        <f t="shared" si="1"/>
        <v>0</v>
      </c>
      <c r="K22" t="str" cm="1">
        <f t="array" ref="K22">_xlfn.LET(_xlpm.v,_xlfn.XLOOKUP(G22,tblValutazioni[TipoValutazione],tblValutazioni[BE],""),IF(_xlpm.v="","",_xlpm.v))</f>
        <v/>
      </c>
      <c r="L22" s="18">
        <f>IF(_xlfn.XLOOKUP($A22, tblRisposte[ItemKey], tblRisposte[Valore], "")="Bene","X",0)</f>
        <v>0</v>
      </c>
      <c r="M22" s="1">
        <f t="shared" si="2"/>
        <v>0</v>
      </c>
      <c r="N22" cm="1">
        <f t="array" ref="N22">_xlfn.LET(_xlpm.v,_xlfn.XLOOKUP(G22,tblValutazioni[TipoValutazione],tblValutazioni[SU],""),IF(_xlpm.v="","",_xlpm.v))</f>
        <v>1</v>
      </c>
      <c r="O22" s="18">
        <f>IF(_xlfn.XLOOKUP($A22, tblRisposte[ItemKey], tblRisposte[Valore], "")="Soddisfacente","X",0)</f>
        <v>0</v>
      </c>
      <c r="P22" s="1">
        <f t="shared" si="3"/>
        <v>0</v>
      </c>
      <c r="Q22" t="str" cm="1">
        <f t="array" ref="Q22">_xlfn.LET(_xlpm.v,_xlfn.XLOOKUP(G22,tblValutazioni[TipoValutazione],tblValutazioni[IN],""),IF(_xlpm.v="","",_xlpm.v))</f>
        <v/>
      </c>
      <c r="R22" s="18">
        <f>IF(_xlfn.XLOOKUP($A22, tblRisposte[ItemKey], tblRisposte[Valore], "")="Insufficiente","X",0)</f>
        <v>0</v>
      </c>
      <c r="S22" s="1">
        <f t="shared" si="4"/>
        <v>0</v>
      </c>
      <c r="T22" cm="1">
        <f t="array" ref="T22">_xlfn.LET(_xlpm.v,_xlfn.XLOOKUP(G22,tblValutazioni[TipoValutazione],tblValutazioni[NE],""),IF(_xlpm.v="","",_xlpm.v))</f>
        <v>0</v>
      </c>
      <c r="U22" s="18">
        <f>IF(_xlfn.XLOOKUP($A22, tblRisposte[ItemKey], tblRisposte[Valore], "")="Non eseguito","X",0)</f>
        <v>0</v>
      </c>
      <c r="V22" s="1">
        <f t="shared" si="5"/>
        <v>0</v>
      </c>
      <c r="W22">
        <f>COUNTIF(I22,"x")+COUNTIF(L22,"x")+COUNTIF(O22,"x")+COUNTIF(R22,"x")+COUNTIF(U22,"x")</f>
        <v>0</v>
      </c>
      <c r="X22" t="str">
        <f>IF(COUNTIF(I22:U22,"X")=1,"OK","errore")</f>
        <v>errore</v>
      </c>
    </row>
    <row r="23" spans="1:25" ht="15" customHeight="1">
      <c r="A23" t="str">
        <f>IF(G23&lt;&gt;"",ScenaAttiva&amp;"_"&amp;AB$4&amp;TEXT(COUNTIF($G$3:G23,"&lt;&gt;"),"0000"),"")</f>
        <v/>
      </c>
      <c r="B23" t="str">
        <f>IF(A23&lt;&gt;"",SquadraAttiva,"")</f>
        <v/>
      </c>
      <c r="C23" t="str">
        <f t="shared" si="0"/>
        <v/>
      </c>
      <c r="D23" t="str">
        <f>IFERROR(_xlfn.XLOOKUP(C23,tblRisposte[idValutazione],tblRisposte[Valore],""),"")</f>
        <v/>
      </c>
      <c r="F23" s="78" t="s">
        <v>203</v>
      </c>
      <c r="H23" t="str" cm="1">
        <f t="array" ref="H23">_xlfn.LET(_xlpm.v,_xlfn.XLOOKUP(G23,tblValutazioni[TipoValutazione],tblValutazioni[MB],""),IF(_xlpm.v="","",_xlpm.v))</f>
        <v/>
      </c>
      <c r="I23" s="18">
        <f>IF(_xlfn.XLOOKUP($A23, tblRisposte[ItemKey],tblRisposte[Valore],"")="Molto bene","X",0)</f>
        <v>0</v>
      </c>
      <c r="J23" s="1">
        <f t="shared" si="1"/>
        <v>0</v>
      </c>
      <c r="K23" t="str" cm="1">
        <f t="array" ref="K23">_xlfn.LET(_xlpm.v,_xlfn.XLOOKUP(G23,tblValutazioni[TipoValutazione],tblValutazioni[BE],""),IF(_xlpm.v="","",_xlpm.v))</f>
        <v/>
      </c>
      <c r="L23" s="18">
        <f>IF(_xlfn.XLOOKUP($A23, tblRisposte[ItemKey], tblRisposte[Valore], "")="Bene","X",0)</f>
        <v>0</v>
      </c>
      <c r="M23" s="1">
        <f t="shared" si="2"/>
        <v>0</v>
      </c>
      <c r="N23" t="str" cm="1">
        <f t="array" ref="N23">_xlfn.LET(_xlpm.v,_xlfn.XLOOKUP(G23,tblValutazioni[TipoValutazione],tblValutazioni[SU],""),IF(_xlpm.v="","",_xlpm.v))</f>
        <v/>
      </c>
      <c r="O23" s="18">
        <f>IF(_xlfn.XLOOKUP($A23, tblRisposte[ItemKey], tblRisposte[Valore], "")="Soddisfacente","X",0)</f>
        <v>0</v>
      </c>
      <c r="P23" s="1">
        <f t="shared" si="3"/>
        <v>0</v>
      </c>
      <c r="Q23" t="str" cm="1">
        <f t="array" ref="Q23">_xlfn.LET(_xlpm.v,_xlfn.XLOOKUP(G23,tblValutazioni[TipoValutazione],tblValutazioni[IN],""),IF(_xlpm.v="","",_xlpm.v))</f>
        <v/>
      </c>
      <c r="R23" s="18">
        <f>IF(_xlfn.XLOOKUP($A23, tblRisposte[ItemKey], tblRisposte[Valore], "")="Insufficiente","X",0)</f>
        <v>0</v>
      </c>
      <c r="S23" s="1">
        <f t="shared" si="4"/>
        <v>0</v>
      </c>
      <c r="T23" t="str" cm="1">
        <f t="array" ref="T23">_xlfn.LET(_xlpm.v,_xlfn.XLOOKUP(G23,tblValutazioni[TipoValutazione],tblValutazioni[NE],""),IF(_xlpm.v="","",_xlpm.v))</f>
        <v/>
      </c>
      <c r="U23" s="18">
        <f>IF(_xlfn.XLOOKUP($A23, tblRisposte[ItemKey], tblRisposte[Valore], "")="Non eseguito","X",0)</f>
        <v>0</v>
      </c>
      <c r="V23" s="1">
        <f t="shared" si="5"/>
        <v>0</v>
      </c>
      <c r="W23">
        <f>COUNTIF(I23,"x")+COUNTIF(L23,"x")+COUNTIF(O23,"x")+COUNTIF(R23,"x")+COUNTIF(U23,"x")</f>
        <v>0</v>
      </c>
      <c r="X23" t="str">
        <f>IF(COUNTIF(I23:U23,"X")=1,"OK","errore")</f>
        <v>errore</v>
      </c>
    </row>
    <row r="24" spans="1:25" ht="15" customHeight="1">
      <c r="A24" t="str">
        <f>IF(G24&lt;&gt;"",ScenaAttiva&amp;"_"&amp;AB$4&amp;TEXT(COUNTIF($G$3:G24,"&lt;&gt;"),"0000"),"")</f>
        <v>A_ASM0020</v>
      </c>
      <c r="B24">
        <f>IF(A24&lt;&gt;"",SquadraAttiva,"")</f>
        <v>3</v>
      </c>
      <c r="C24" t="str">
        <f t="shared" si="0"/>
        <v>3-A_ASM0020</v>
      </c>
      <c r="D24">
        <f>IFERROR(_xlfn.XLOOKUP(C24,tblRisposte[idValutazione],tblRisposte[Valore],""),"")</f>
        <v>0</v>
      </c>
      <c r="E24" t="s">
        <v>653</v>
      </c>
      <c r="F24" s="78" t="s">
        <v>205</v>
      </c>
      <c r="G24" t="s">
        <v>35</v>
      </c>
      <c r="H24" cm="1">
        <f t="array" ref="H24">_xlfn.LET(_xlpm.v,_xlfn.XLOOKUP(G24,tblValutazioni[TipoValutazione],tblValutazioni[MB],""),IF(_xlpm.v="","",_xlpm.v))</f>
        <v>5</v>
      </c>
      <c r="I24" s="18">
        <f>IF(_xlfn.XLOOKUP($A24, tblRisposte[ItemKey],tblRisposte[Valore],"")="Molto bene","X",0)</f>
        <v>0</v>
      </c>
      <c r="J24" s="1">
        <f t="shared" si="1"/>
        <v>0</v>
      </c>
      <c r="K24" cm="1">
        <f t="array" ref="K24">_xlfn.LET(_xlpm.v,_xlfn.XLOOKUP(G24,tblValutazioni[TipoValutazione],tblValutazioni[BE],""),IF(_xlpm.v="","",_xlpm.v))</f>
        <v>4</v>
      </c>
      <c r="L24" s="18">
        <f>IF(_xlfn.XLOOKUP($A24, tblRisposte[ItemKey], tblRisposte[Valore], "")="Bene","X",0)</f>
        <v>0</v>
      </c>
      <c r="M24" s="1">
        <f t="shared" si="2"/>
        <v>0</v>
      </c>
      <c r="N24" cm="1">
        <f t="array" ref="N24">_xlfn.LET(_xlpm.v,_xlfn.XLOOKUP(G24,tblValutazioni[TipoValutazione],tblValutazioni[SU],""),IF(_xlpm.v="","",_xlpm.v))</f>
        <v>2</v>
      </c>
      <c r="O24" s="18">
        <f>IF(_xlfn.XLOOKUP($A24, tblRisposte[ItemKey], tblRisposte[Valore], "")="Soddisfacente","X",0)</f>
        <v>0</v>
      </c>
      <c r="P24" s="1">
        <f t="shared" si="3"/>
        <v>0</v>
      </c>
      <c r="Q24" cm="1">
        <f t="array" ref="Q24">_xlfn.LET(_xlpm.v,_xlfn.XLOOKUP(G24,tblValutazioni[TipoValutazione],tblValutazioni[IN],""),IF(_xlpm.v="","",_xlpm.v))</f>
        <v>1</v>
      </c>
      <c r="R24" s="18">
        <f>IF(_xlfn.XLOOKUP($A24, tblRisposte[ItemKey], tblRisposte[Valore], "")="Insufficiente","X",0)</f>
        <v>0</v>
      </c>
      <c r="S24" s="1">
        <f t="shared" si="4"/>
        <v>0</v>
      </c>
      <c r="T24" cm="1">
        <f t="array" ref="T24">_xlfn.LET(_xlpm.v,_xlfn.XLOOKUP(G24,tblValutazioni[TipoValutazione],tblValutazioni[NE],""),IF(_xlpm.v="","",_xlpm.v))</f>
        <v>0</v>
      </c>
      <c r="U24" s="18">
        <f>IF(_xlfn.XLOOKUP($A24, tblRisposte[ItemKey], tblRisposte[Valore], "")="Non eseguito","X",0)</f>
        <v>0</v>
      </c>
      <c r="V24" s="1">
        <f t="shared" si="5"/>
        <v>0</v>
      </c>
      <c r="W24">
        <f>COUNTIF(I24,"x")+COUNTIF(L24,"x")+COUNTIF(O24,"x")+COUNTIF(R24,"x")+COUNTIF(U24,"x")</f>
        <v>0</v>
      </c>
      <c r="X24" t="str">
        <f>IF(COUNTIF(I24:U24,"X")=1,"OK","errore")</f>
        <v>errore</v>
      </c>
    </row>
    <row r="25" spans="1:25" ht="15" customHeight="1">
      <c r="A25" t="str">
        <f>IF(G25&lt;&gt;"",ScenaAttiva&amp;"_"&amp;AB$4&amp;TEXT(COUNTIF($G$3:G25,"&lt;&gt;"),"0000"),"")</f>
        <v>A_ASM0021</v>
      </c>
      <c r="B25">
        <f>IF(A25&lt;&gt;"",SquadraAttiva,"")</f>
        <v>3</v>
      </c>
      <c r="C25" t="str">
        <f t="shared" si="0"/>
        <v>3-A_ASM0021</v>
      </c>
      <c r="D25">
        <f>IFERROR(_xlfn.XLOOKUP(C25,tblRisposte[idValutazione],tblRisposte[Valore],""),"")</f>
        <v>1</v>
      </c>
      <c r="E25" t="s">
        <v>653</v>
      </c>
      <c r="F25" s="78" t="s">
        <v>207</v>
      </c>
      <c r="G25" t="s">
        <v>37</v>
      </c>
      <c r="H25" cm="1">
        <f t="array" ref="H25">_xlfn.LET(_xlpm.v,_xlfn.XLOOKUP(G25,tblValutazioni[TipoValutazione],tblValutazioni[MB],""),IF(_xlpm.v="","",_xlpm.v))</f>
        <v>10</v>
      </c>
      <c r="I25" s="18">
        <f>IF(_xlfn.XLOOKUP($A25, tblRisposte[ItemKey],tblRisposte[Valore],"")="Molto bene","X",0)</f>
        <v>0</v>
      </c>
      <c r="J25" s="1">
        <f t="shared" si="1"/>
        <v>0</v>
      </c>
      <c r="K25" cm="1">
        <f t="array" ref="K25">_xlfn.LET(_xlpm.v,_xlfn.XLOOKUP(G25,tblValutazioni[TipoValutazione],tblValutazioni[BE],""),IF(_xlpm.v="","",_xlpm.v))</f>
        <v>8</v>
      </c>
      <c r="L25" s="18">
        <f>IF(_xlfn.XLOOKUP($A25, tblRisposte[ItemKey], tblRisposte[Valore], "")="Bene","X",0)</f>
        <v>0</v>
      </c>
      <c r="M25" s="1">
        <f t="shared" si="2"/>
        <v>0</v>
      </c>
      <c r="N25" cm="1">
        <f t="array" ref="N25">_xlfn.LET(_xlpm.v,_xlfn.XLOOKUP(G25,tblValutazioni[TipoValutazione],tblValutazioni[SU],""),IF(_xlpm.v="","",_xlpm.v))</f>
        <v>4</v>
      </c>
      <c r="O25" s="18">
        <f>IF(_xlfn.XLOOKUP($A25, tblRisposte[ItemKey], tblRisposte[Valore], "")="Soddisfacente","X",0)</f>
        <v>0</v>
      </c>
      <c r="P25" s="1">
        <f t="shared" si="3"/>
        <v>0</v>
      </c>
      <c r="Q25" cm="1">
        <f t="array" ref="Q25">_xlfn.LET(_xlpm.v,_xlfn.XLOOKUP(G25,tblValutazioni[TipoValutazione],tblValutazioni[IN],""),IF(_xlpm.v="","",_xlpm.v))</f>
        <v>1</v>
      </c>
      <c r="R25" s="18">
        <f>IF(_xlfn.XLOOKUP($A25, tblRisposte[ItemKey], tblRisposte[Valore], "")="Insufficiente","X",0)</f>
        <v>0</v>
      </c>
      <c r="S25" s="1">
        <f t="shared" si="4"/>
        <v>0</v>
      </c>
      <c r="T25" cm="1">
        <f t="array" ref="T25">_xlfn.LET(_xlpm.v,_xlfn.XLOOKUP(G25,tblValutazioni[TipoValutazione],tblValutazioni[NE],""),IF(_xlpm.v="","",_xlpm.v))</f>
        <v>0</v>
      </c>
      <c r="U25" s="18">
        <f>IF(_xlfn.XLOOKUP($A25, tblRisposte[ItemKey], tblRisposte[Valore], "")="Non eseguito","X",0)</f>
        <v>0</v>
      </c>
      <c r="V25" s="1">
        <f t="shared" si="5"/>
        <v>0</v>
      </c>
      <c r="X25" t="str">
        <f>IF(COUNTIF(I25:U25,"X")=1,"OK","errore")</f>
        <v>errore</v>
      </c>
    </row>
    <row r="26" spans="1:25" ht="15" customHeight="1">
      <c r="A26" t="str">
        <f>IF(G26&lt;&gt;"",ScenaAttiva&amp;"_"&amp;AB$4&amp;TEXT(COUNTIF($G$3:G26,"&lt;&gt;"),"0000"),"")</f>
        <v/>
      </c>
      <c r="B26" t="str">
        <f>IF(A26&lt;&gt;"",SquadraAttiva,"")</f>
        <v/>
      </c>
      <c r="C26" t="str">
        <f t="shared" ref="C26:C40" si="6">IF(A26&lt;&gt;"",TEXT(B26,"0")&amp;"-"&amp;TRIM(A26),"")</f>
        <v/>
      </c>
      <c r="D26" t="str">
        <f>IFERROR(_xlfn.XLOOKUP(C26,tblRisposte[idValutazione],tblRisposte[Valore],""),"")</f>
        <v/>
      </c>
      <c r="F26" t="s">
        <v>745</v>
      </c>
      <c r="G26" s="26"/>
      <c r="H26" t="str" cm="1">
        <f t="array" ref="H26">_xlfn.LET(_xlpm.v,_xlfn.XLOOKUP(G26,tblValutazioni[TipoValutazione],tblValutazioni[MB],""),IF(_xlpm.v="","",_xlpm.v))</f>
        <v/>
      </c>
      <c r="I26" s="18">
        <f>IF(_xlfn.XLOOKUP($A26, tblRisposte[ItemKey],tblRisposte[Valore],"")="Molto bene","X",0)</f>
        <v>0</v>
      </c>
      <c r="J26" s="1">
        <f t="shared" si="1"/>
        <v>0</v>
      </c>
      <c r="K26" t="str" cm="1">
        <f t="array" ref="K26">_xlfn.LET(_xlpm.v,_xlfn.XLOOKUP(G26,tblValutazioni[TipoValutazione],tblValutazioni[BE],""),IF(_xlpm.v="","",_xlpm.v))</f>
        <v/>
      </c>
      <c r="L26" s="18">
        <f>IF(_xlfn.XLOOKUP($A26, tblRisposte[ItemKey], tblRisposte[Valore], "")="Bene","X",0)</f>
        <v>0</v>
      </c>
      <c r="M26" s="1">
        <f t="shared" si="2"/>
        <v>0</v>
      </c>
      <c r="N26" t="str" cm="1">
        <f t="array" ref="N26">_xlfn.LET(_xlpm.v,_xlfn.XLOOKUP(G26,tblValutazioni[TipoValutazione],tblValutazioni[SU],""),IF(_xlpm.v="","",_xlpm.v))</f>
        <v/>
      </c>
      <c r="O26" s="18">
        <f>IF(_xlfn.XLOOKUP($A26, tblRisposte[ItemKey], tblRisposte[Valore], "")="Soddisfacente","X",0)</f>
        <v>0</v>
      </c>
      <c r="P26" s="1">
        <f t="shared" si="3"/>
        <v>0</v>
      </c>
      <c r="Q26" t="str" cm="1">
        <f t="array" ref="Q26">_xlfn.LET(_xlpm.v,_xlfn.XLOOKUP(G26,tblValutazioni[TipoValutazione],tblValutazioni[IN],""),IF(_xlpm.v="","",_xlpm.v))</f>
        <v/>
      </c>
      <c r="R26" s="18">
        <f>IF(_xlfn.XLOOKUP($A26, tblRisposte[ItemKey], tblRisposte[Valore], "")="Insufficiente","X",0)</f>
        <v>0</v>
      </c>
      <c r="S26" s="1">
        <f t="shared" si="4"/>
        <v>0</v>
      </c>
      <c r="T26" t="str" cm="1">
        <f t="array" ref="T26">_xlfn.LET(_xlpm.v,_xlfn.XLOOKUP(G26,tblValutazioni[TipoValutazione],tblValutazioni[NE],""),IF(_xlpm.v="","",_xlpm.v))</f>
        <v/>
      </c>
      <c r="U26" s="18">
        <f>IF(_xlfn.XLOOKUP($A26, tblRisposte[ItemKey], tblRisposte[Valore], "")="Non eseguito","X",0)</f>
        <v>0</v>
      </c>
      <c r="V26" s="1">
        <f t="shared" si="5"/>
        <v>0</v>
      </c>
      <c r="X26" t="str">
        <f>IF(COUNTIF(I26:U26,"X")=1,"OK","errore")</f>
        <v>errore</v>
      </c>
    </row>
    <row r="27" spans="1:25" ht="15" customHeight="1">
      <c r="A27" t="str">
        <f>IF(G27&lt;&gt;"",ScenaAttiva&amp;"_"&amp;AB$4&amp;TEXT(COUNTIF($G$3:G27,"&lt;&gt;"),"0000"),"")</f>
        <v/>
      </c>
      <c r="B27" t="str">
        <f>IF(A27&lt;&gt;"",SquadraAttiva,"")</f>
        <v/>
      </c>
      <c r="C27" t="str">
        <f t="shared" si="6"/>
        <v/>
      </c>
      <c r="D27" t="str">
        <f>IFERROR(_xlfn.XLOOKUP(C27,tblRisposte[idValutazione],tblRisposte[Valore],""),"")</f>
        <v/>
      </c>
      <c r="F27" t="s">
        <v>730</v>
      </c>
      <c r="H27" t="str" cm="1">
        <f t="array" ref="H27">_xlfn.LET(_xlpm.v,_xlfn.XLOOKUP(G27,tblValutazioni[TipoValutazione],tblValutazioni[MB],""),IF(_xlpm.v="","",_xlpm.v))</f>
        <v/>
      </c>
      <c r="I27" s="18">
        <f>IF(_xlfn.XLOOKUP($A27, tblRisposte[ItemKey],tblRisposte[Valore],"")="Molto bene","X",0)</f>
        <v>0</v>
      </c>
      <c r="J27" s="1">
        <f t="shared" si="1"/>
        <v>0</v>
      </c>
      <c r="K27" t="str" cm="1">
        <f t="array" ref="K27">_xlfn.LET(_xlpm.v,_xlfn.XLOOKUP(G27,tblValutazioni[TipoValutazione],tblValutazioni[BE],""),IF(_xlpm.v="","",_xlpm.v))</f>
        <v/>
      </c>
      <c r="L27" s="18">
        <f>IF(_xlfn.XLOOKUP($A27, tblRisposte[ItemKey], tblRisposte[Valore], "")="Bene","X",0)</f>
        <v>0</v>
      </c>
      <c r="M27" s="1">
        <f t="shared" si="2"/>
        <v>0</v>
      </c>
      <c r="N27" t="str" cm="1">
        <f t="array" ref="N27">_xlfn.LET(_xlpm.v,_xlfn.XLOOKUP(G27,tblValutazioni[TipoValutazione],tblValutazioni[SU],""),IF(_xlpm.v="","",_xlpm.v))</f>
        <v/>
      </c>
      <c r="O27" s="18">
        <f>IF(_xlfn.XLOOKUP($A27, tblRisposte[ItemKey], tblRisposte[Valore], "")="Soddisfacente","X",0)</f>
        <v>0</v>
      </c>
      <c r="P27" s="1">
        <f t="shared" si="3"/>
        <v>0</v>
      </c>
      <c r="Q27" t="str" cm="1">
        <f t="array" ref="Q27">_xlfn.LET(_xlpm.v,_xlfn.XLOOKUP(G27,tblValutazioni[TipoValutazione],tblValutazioni[IN],""),IF(_xlpm.v="","",_xlpm.v))</f>
        <v/>
      </c>
      <c r="R27" s="18">
        <f>IF(_xlfn.XLOOKUP($A27, tblRisposte[ItemKey], tblRisposte[Valore], "")="Insufficiente","X",0)</f>
        <v>0</v>
      </c>
      <c r="S27" s="1">
        <f t="shared" si="4"/>
        <v>0</v>
      </c>
      <c r="T27" t="str" cm="1">
        <f t="array" ref="T27">_xlfn.LET(_xlpm.v,_xlfn.XLOOKUP(G27,tblValutazioni[TipoValutazione],tblValutazioni[NE],""),IF(_xlpm.v="","",_xlpm.v))</f>
        <v/>
      </c>
      <c r="U27" s="18">
        <f>IF(_xlfn.XLOOKUP($A27, tblRisposte[ItemKey], tblRisposte[Valore], "")="Non eseguito","X",0)</f>
        <v>0</v>
      </c>
      <c r="V27" s="1">
        <f t="shared" si="5"/>
        <v>0</v>
      </c>
      <c r="W27">
        <f>COUNTIF(I27,"x")+COUNTIF(L27,"x")+COUNTIF(O27,"x")+COUNTIF(R27,"x")+COUNTIF(U27,"x")</f>
        <v>0</v>
      </c>
      <c r="X27" t="str">
        <f>IF(COUNTIF(I27:U27,"X")=1,"OK","errore")</f>
        <v>errore</v>
      </c>
    </row>
    <row r="28" spans="1:25" ht="15" customHeight="1">
      <c r="A28" t="str">
        <f>IF(G28&lt;&gt;"",ScenaAttiva&amp;"_"&amp;AB$4&amp;TEXT(COUNTIF($G$3:G28,"&lt;&gt;"),"0000"),"")</f>
        <v/>
      </c>
      <c r="B28" t="str">
        <f>IF(A28&lt;&gt;"",SquadraAttiva,"")</f>
        <v/>
      </c>
      <c r="C28" t="str">
        <f t="shared" si="6"/>
        <v/>
      </c>
      <c r="D28" t="str">
        <f>IFERROR(_xlfn.XLOOKUP(C28,tblRisposte[idValutazione],tblRisposte[Valore],""),"")</f>
        <v/>
      </c>
      <c r="F28" t="s">
        <v>731</v>
      </c>
      <c r="H28" t="str" cm="1">
        <f t="array" ref="H28">_xlfn.LET(_xlpm.v,_xlfn.XLOOKUP(G28,tblValutazioni[TipoValutazione],tblValutazioni[MB],""),IF(_xlpm.v="","",_xlpm.v))</f>
        <v/>
      </c>
      <c r="I28" s="18">
        <f>IF(_xlfn.XLOOKUP($A28, tblRisposte[ItemKey],tblRisposte[Valore],"")="Molto bene","X",0)</f>
        <v>0</v>
      </c>
      <c r="J28" s="1">
        <f t="shared" si="1"/>
        <v>0</v>
      </c>
      <c r="K28" t="str" cm="1">
        <f t="array" ref="K28">_xlfn.LET(_xlpm.v,_xlfn.XLOOKUP(G28,tblValutazioni[TipoValutazione],tblValutazioni[BE],""),IF(_xlpm.v="","",_xlpm.v))</f>
        <v/>
      </c>
      <c r="L28" s="18">
        <f>IF(_xlfn.XLOOKUP($A28, tblRisposte[ItemKey], tblRisposte[Valore], "")="Bene","X",0)</f>
        <v>0</v>
      </c>
      <c r="M28" s="1">
        <f t="shared" si="2"/>
        <v>0</v>
      </c>
      <c r="N28" t="str" cm="1">
        <f t="array" ref="N28">_xlfn.LET(_xlpm.v,_xlfn.XLOOKUP(G28,tblValutazioni[TipoValutazione],tblValutazioni[SU],""),IF(_xlpm.v="","",_xlpm.v))</f>
        <v/>
      </c>
      <c r="O28" s="18">
        <f>IF(_xlfn.XLOOKUP($A28, tblRisposte[ItemKey], tblRisposte[Valore], "")="Soddisfacente","X",0)</f>
        <v>0</v>
      </c>
      <c r="P28" s="1">
        <f t="shared" si="3"/>
        <v>0</v>
      </c>
      <c r="Q28" t="str" cm="1">
        <f t="array" ref="Q28">_xlfn.LET(_xlpm.v,_xlfn.XLOOKUP(G28,tblValutazioni[TipoValutazione],tblValutazioni[IN],""),IF(_xlpm.v="","",_xlpm.v))</f>
        <v/>
      </c>
      <c r="R28" s="18">
        <f>IF(_xlfn.XLOOKUP($A28, tblRisposte[ItemKey], tblRisposte[Valore], "")="Insufficiente","X",0)</f>
        <v>0</v>
      </c>
      <c r="S28" s="1">
        <f t="shared" si="4"/>
        <v>0</v>
      </c>
      <c r="T28" t="str" cm="1">
        <f t="array" ref="T28">_xlfn.LET(_xlpm.v,_xlfn.XLOOKUP(G28,tblValutazioni[TipoValutazione],tblValutazioni[NE],""),IF(_xlpm.v="","",_xlpm.v))</f>
        <v/>
      </c>
      <c r="U28" s="18">
        <f>IF(_xlfn.XLOOKUP($A28, tblRisposte[ItemKey], tblRisposte[Valore], "")="Non eseguito","X",0)</f>
        <v>0</v>
      </c>
      <c r="V28" s="1">
        <f t="shared" si="5"/>
        <v>0</v>
      </c>
      <c r="W28">
        <f>COUNTIF(I28,"x")+COUNTIF(L28,"x")+COUNTIF(O28,"x")+COUNTIF(R28,"x")+COUNTIF(U28,"x")</f>
        <v>0</v>
      </c>
      <c r="X28" t="str">
        <f>IF(COUNTIF(I28:U28,"X")=1,"OK","errore")</f>
        <v>errore</v>
      </c>
    </row>
    <row r="29" spans="1:25" ht="15" customHeight="1">
      <c r="A29" t="str">
        <f>IF(G29&lt;&gt;"",ScenaAttiva&amp;"_"&amp;AB$4&amp;TEXT(COUNTIF($G$3:G29,"&lt;&gt;"),"0000"),"")</f>
        <v/>
      </c>
      <c r="B29" t="str">
        <f>IF(A29&lt;&gt;"",SquadraAttiva,"")</f>
        <v/>
      </c>
      <c r="C29" t="str">
        <f t="shared" si="6"/>
        <v/>
      </c>
      <c r="D29" t="str">
        <f>IFERROR(_xlfn.XLOOKUP(C29,tblRisposte[idValutazione],tblRisposte[Valore],""),"")</f>
        <v/>
      </c>
      <c r="F29" t="s">
        <v>732</v>
      </c>
      <c r="H29" t="str" cm="1">
        <f t="array" ref="H29">_xlfn.LET(_xlpm.v,_xlfn.XLOOKUP(G29,tblValutazioni[TipoValutazione],tblValutazioni[MB],""),IF(_xlpm.v="","",_xlpm.v))</f>
        <v/>
      </c>
      <c r="I29" s="18">
        <f>IF(_xlfn.XLOOKUP($A29, tblRisposte[ItemKey],tblRisposte[Valore],"")="Molto bene","X",0)</f>
        <v>0</v>
      </c>
      <c r="J29" s="1">
        <f t="shared" si="1"/>
        <v>0</v>
      </c>
      <c r="K29" t="str" cm="1">
        <f t="array" ref="K29">_xlfn.LET(_xlpm.v,_xlfn.XLOOKUP(G29,tblValutazioni[TipoValutazione],tblValutazioni[BE],""),IF(_xlpm.v="","",_xlpm.v))</f>
        <v/>
      </c>
      <c r="L29" s="18">
        <f>IF(_xlfn.XLOOKUP($A29, tblRisposte[ItemKey], tblRisposte[Valore], "")="Bene","X",0)</f>
        <v>0</v>
      </c>
      <c r="M29" s="1">
        <f t="shared" si="2"/>
        <v>0</v>
      </c>
      <c r="N29" t="str" cm="1">
        <f t="array" ref="N29">_xlfn.LET(_xlpm.v,_xlfn.XLOOKUP(G29,tblValutazioni[TipoValutazione],tblValutazioni[SU],""),IF(_xlpm.v="","",_xlpm.v))</f>
        <v/>
      </c>
      <c r="O29" s="18">
        <f>IF(_xlfn.XLOOKUP($A29, tblRisposte[ItemKey], tblRisposte[Valore], "")="Soddisfacente","X",0)</f>
        <v>0</v>
      </c>
      <c r="P29" s="1">
        <f t="shared" si="3"/>
        <v>0</v>
      </c>
      <c r="Q29" t="str" cm="1">
        <f t="array" ref="Q29">_xlfn.LET(_xlpm.v,_xlfn.XLOOKUP(G29,tblValutazioni[TipoValutazione],tblValutazioni[IN],""),IF(_xlpm.v="","",_xlpm.v))</f>
        <v/>
      </c>
      <c r="R29" s="18">
        <f>IF(_xlfn.XLOOKUP($A29, tblRisposte[ItemKey], tblRisposte[Valore], "")="Insufficiente","X",0)</f>
        <v>0</v>
      </c>
      <c r="S29" s="1">
        <f t="shared" si="4"/>
        <v>0</v>
      </c>
      <c r="T29" t="str" cm="1">
        <f t="array" ref="T29">_xlfn.LET(_xlpm.v,_xlfn.XLOOKUP(G29,tblValutazioni[TipoValutazione],tblValutazioni[NE],""),IF(_xlpm.v="","",_xlpm.v))</f>
        <v/>
      </c>
      <c r="U29" s="18">
        <f>IF(_xlfn.XLOOKUP($A29, tblRisposte[ItemKey], tblRisposte[Valore], "")="Non eseguito","X",0)</f>
        <v>0</v>
      </c>
      <c r="V29" s="1">
        <f t="shared" si="5"/>
        <v>0</v>
      </c>
      <c r="W29">
        <f>COUNTIF(I29,"x")+COUNTIF(L29,"x")+COUNTIF(O29,"x")+COUNTIF(R29,"x")+COUNTIF(U29,"x")</f>
        <v>0</v>
      </c>
      <c r="X29" t="str">
        <f>IF(COUNTIF(I29:U29,"X")=1,"OK","errore")</f>
        <v>errore</v>
      </c>
    </row>
    <row r="30" spans="1:25" ht="15" customHeight="1">
      <c r="A30" t="str">
        <f>IF(G30&lt;&gt;"",ScenaAttiva&amp;"_"&amp;AB$4&amp;TEXT(COUNTIF($G$3:G30,"&lt;&gt;"),"0000"),"")</f>
        <v/>
      </c>
      <c r="B30" t="str">
        <f>IF(A30&lt;&gt;"",SquadraAttiva,"")</f>
        <v/>
      </c>
      <c r="C30" t="str">
        <f t="shared" si="6"/>
        <v/>
      </c>
      <c r="D30" t="str">
        <f>IFERROR(_xlfn.XLOOKUP(C30,tblRisposte[idValutazione],tblRisposte[Valore],""),"")</f>
        <v/>
      </c>
      <c r="F30" t="s">
        <v>733</v>
      </c>
      <c r="H30" t="str" cm="1">
        <f t="array" ref="H30">_xlfn.LET(_xlpm.v,_xlfn.XLOOKUP(G30,tblValutazioni[TipoValutazione],tblValutazioni[MB],""),IF(_xlpm.v="","",_xlpm.v))</f>
        <v/>
      </c>
      <c r="I30" s="18">
        <f>IF(_xlfn.XLOOKUP($A30, tblRisposte[ItemKey],tblRisposte[Valore],"")="Molto bene","X",0)</f>
        <v>0</v>
      </c>
      <c r="J30" s="1">
        <f t="shared" si="1"/>
        <v>0</v>
      </c>
      <c r="K30" t="str" cm="1">
        <f t="array" ref="K30">_xlfn.LET(_xlpm.v,_xlfn.XLOOKUP(G30,tblValutazioni[TipoValutazione],tblValutazioni[BE],""),IF(_xlpm.v="","",_xlpm.v))</f>
        <v/>
      </c>
      <c r="L30" s="18">
        <f>IF(_xlfn.XLOOKUP($A30, tblRisposte[ItemKey], tblRisposte[Valore], "")="Bene","X",0)</f>
        <v>0</v>
      </c>
      <c r="M30" s="1">
        <f t="shared" si="2"/>
        <v>0</v>
      </c>
      <c r="N30" t="str" cm="1">
        <f t="array" ref="N30">_xlfn.LET(_xlpm.v,_xlfn.XLOOKUP(G30,tblValutazioni[TipoValutazione],tblValutazioni[SU],""),IF(_xlpm.v="","",_xlpm.v))</f>
        <v/>
      </c>
      <c r="O30" s="18">
        <f>IF(_xlfn.XLOOKUP($A30, tblRisposte[ItemKey], tblRisposte[Valore], "")="Soddisfacente","X",0)</f>
        <v>0</v>
      </c>
      <c r="P30" s="1">
        <f t="shared" si="3"/>
        <v>0</v>
      </c>
      <c r="Q30" t="str" cm="1">
        <f t="array" ref="Q30">_xlfn.LET(_xlpm.v,_xlfn.XLOOKUP(G30,tblValutazioni[TipoValutazione],tblValutazioni[IN],""),IF(_xlpm.v="","",_xlpm.v))</f>
        <v/>
      </c>
      <c r="R30" s="18">
        <f>IF(_xlfn.XLOOKUP($A30, tblRisposte[ItemKey], tblRisposte[Valore], "")="Insufficiente","X",0)</f>
        <v>0</v>
      </c>
      <c r="S30" s="1">
        <f t="shared" si="4"/>
        <v>0</v>
      </c>
      <c r="T30" t="str" cm="1">
        <f t="array" ref="T30">_xlfn.LET(_xlpm.v,_xlfn.XLOOKUP(G30,tblValutazioni[TipoValutazione],tblValutazioni[NE],""),IF(_xlpm.v="","",_xlpm.v))</f>
        <v/>
      </c>
      <c r="U30" s="18">
        <f>IF(_xlfn.XLOOKUP($A30, tblRisposte[ItemKey], tblRisposte[Valore], "")="Non eseguito","X",0)</f>
        <v>0</v>
      </c>
      <c r="V30" s="1">
        <f t="shared" si="5"/>
        <v>0</v>
      </c>
      <c r="W30">
        <f>COUNTIF(I30,"x")+COUNTIF(L30,"x")+COUNTIF(O30,"x")+COUNTIF(R30,"x")+COUNTIF(U30,"x")</f>
        <v>0</v>
      </c>
      <c r="X30" t="str">
        <f>IF(COUNTIF(I30:U30,"X")=1,"OK","errore")</f>
        <v>errore</v>
      </c>
    </row>
    <row r="31" spans="1:25" ht="15" customHeight="1">
      <c r="A31" t="str">
        <f>IF(G31&lt;&gt;"",ScenaAttiva&amp;"_"&amp;AB$4&amp;TEXT(COUNTIF($G$3:G31,"&lt;&gt;"),"0000"),"")</f>
        <v/>
      </c>
      <c r="B31" t="str">
        <f>IF(A31&lt;&gt;"",SquadraAttiva,"")</f>
        <v/>
      </c>
      <c r="C31" t="str">
        <f t="shared" si="6"/>
        <v/>
      </c>
      <c r="D31" t="str">
        <f>IFERROR(_xlfn.XLOOKUP(C31,tblRisposte[idValutazione],tblRisposte[Valore],""),"")</f>
        <v/>
      </c>
      <c r="F31" t="s">
        <v>734</v>
      </c>
      <c r="H31" t="str" cm="1">
        <f t="array" ref="H31">_xlfn.LET(_xlpm.v,_xlfn.XLOOKUP(G31,tblValutazioni[TipoValutazione],tblValutazioni[MB],""),IF(_xlpm.v="","",_xlpm.v))</f>
        <v/>
      </c>
      <c r="I31" s="18">
        <f>IF(_xlfn.XLOOKUP($A31, tblRisposte[ItemKey],tblRisposte[Valore],"")="Molto bene","X",0)</f>
        <v>0</v>
      </c>
      <c r="J31" s="1">
        <f t="shared" si="1"/>
        <v>0</v>
      </c>
      <c r="K31" t="str" cm="1">
        <f t="array" ref="K31">_xlfn.LET(_xlpm.v,_xlfn.XLOOKUP(G31,tblValutazioni[TipoValutazione],tblValutazioni[BE],""),IF(_xlpm.v="","",_xlpm.v))</f>
        <v/>
      </c>
      <c r="L31" s="18">
        <f>IF(_xlfn.XLOOKUP($A31, tblRisposte[ItemKey], tblRisposte[Valore], "")="Bene","X",0)</f>
        <v>0</v>
      </c>
      <c r="M31" s="1">
        <f t="shared" si="2"/>
        <v>0</v>
      </c>
      <c r="N31" t="str" cm="1">
        <f t="array" ref="N31">_xlfn.LET(_xlpm.v,_xlfn.XLOOKUP(G31,tblValutazioni[TipoValutazione],tblValutazioni[SU],""),IF(_xlpm.v="","",_xlpm.v))</f>
        <v/>
      </c>
      <c r="O31" s="18">
        <f>IF(_xlfn.XLOOKUP($A31, tblRisposte[ItemKey], tblRisposte[Valore], "")="Soddisfacente","X",0)</f>
        <v>0</v>
      </c>
      <c r="P31" s="1">
        <f t="shared" si="3"/>
        <v>0</v>
      </c>
      <c r="Q31" t="str" cm="1">
        <f t="array" ref="Q31">_xlfn.LET(_xlpm.v,_xlfn.XLOOKUP(G31,tblValutazioni[TipoValutazione],tblValutazioni[IN],""),IF(_xlpm.v="","",_xlpm.v))</f>
        <v/>
      </c>
      <c r="R31" s="18">
        <f>IF(_xlfn.XLOOKUP($A31, tblRisposte[ItemKey], tblRisposte[Valore], "")="Insufficiente","X",0)</f>
        <v>0</v>
      </c>
      <c r="S31" s="1">
        <f t="shared" si="4"/>
        <v>0</v>
      </c>
      <c r="T31" t="str" cm="1">
        <f t="array" ref="T31">_xlfn.LET(_xlpm.v,_xlfn.XLOOKUP(G31,tblValutazioni[TipoValutazione],tblValutazioni[NE],""),IF(_xlpm.v="","",_xlpm.v))</f>
        <v/>
      </c>
      <c r="U31" s="18">
        <f>IF(_xlfn.XLOOKUP($A31, tblRisposte[ItemKey], tblRisposte[Valore], "")="Non eseguito","X",0)</f>
        <v>0</v>
      </c>
      <c r="V31" s="1">
        <f t="shared" si="5"/>
        <v>0</v>
      </c>
      <c r="W31">
        <f>COUNTIF(I31,"x")+COUNTIF(L31,"x")+COUNTIF(O31,"x")+COUNTIF(R31,"x")+COUNTIF(U31,"x")</f>
        <v>0</v>
      </c>
      <c r="X31" t="str">
        <f>IF(COUNTIF(I31:U31,"X")=1,"OK","errore")</f>
        <v>errore</v>
      </c>
    </row>
    <row r="32" spans="1:25" ht="15" customHeight="1">
      <c r="A32" t="str">
        <f>IF(G32&lt;&gt;"",ScenaAttiva&amp;"_"&amp;AB$4&amp;TEXT(COUNTIF($G$3:G32,"&lt;&gt;"),"0000"),"")</f>
        <v/>
      </c>
      <c r="B32" t="str">
        <f>IF(A32&lt;&gt;"",SquadraAttiva,"")</f>
        <v/>
      </c>
      <c r="C32" t="str">
        <f t="shared" si="6"/>
        <v/>
      </c>
      <c r="D32" t="str">
        <f>IFERROR(_xlfn.XLOOKUP(C32,tblRisposte[idValutazione],tblRisposte[Valore],""),"")</f>
        <v/>
      </c>
      <c r="F32" t="s">
        <v>735</v>
      </c>
      <c r="H32" t="str" cm="1">
        <f t="array" ref="H32">_xlfn.LET(_xlpm.v,_xlfn.XLOOKUP(G32,tblValutazioni[TipoValutazione],tblValutazioni[MB],""),IF(_xlpm.v="","",_xlpm.v))</f>
        <v/>
      </c>
      <c r="I32" s="18">
        <f>IF(_xlfn.XLOOKUP($A32, tblRisposte[ItemKey],tblRisposte[Valore],"")="Molto bene","X",0)</f>
        <v>0</v>
      </c>
      <c r="J32" s="1">
        <f t="shared" si="1"/>
        <v>0</v>
      </c>
      <c r="K32" t="str" cm="1">
        <f t="array" ref="K32">_xlfn.LET(_xlpm.v,_xlfn.XLOOKUP(G32,tblValutazioni[TipoValutazione],tblValutazioni[BE],""),IF(_xlpm.v="","",_xlpm.v))</f>
        <v/>
      </c>
      <c r="L32" s="18">
        <f>IF(_xlfn.XLOOKUP($A32, tblRisposte[ItemKey], tblRisposte[Valore], "")="Bene","X",0)</f>
        <v>0</v>
      </c>
      <c r="M32" s="1">
        <f t="shared" si="2"/>
        <v>0</v>
      </c>
      <c r="N32" t="str" cm="1">
        <f t="array" ref="N32">_xlfn.LET(_xlpm.v,_xlfn.XLOOKUP(G32,tblValutazioni[TipoValutazione],tblValutazioni[SU],""),IF(_xlpm.v="","",_xlpm.v))</f>
        <v/>
      </c>
      <c r="O32" s="18">
        <f>IF(_xlfn.XLOOKUP($A32, tblRisposte[ItemKey], tblRisposte[Valore], "")="Soddisfacente","X",0)</f>
        <v>0</v>
      </c>
      <c r="P32" s="1">
        <f t="shared" si="3"/>
        <v>0</v>
      </c>
      <c r="Q32" t="str" cm="1">
        <f t="array" ref="Q32">_xlfn.LET(_xlpm.v,_xlfn.XLOOKUP(G32,tblValutazioni[TipoValutazione],tblValutazioni[IN],""),IF(_xlpm.v="","",_xlpm.v))</f>
        <v/>
      </c>
      <c r="R32" s="18">
        <f>IF(_xlfn.XLOOKUP($A32, tblRisposte[ItemKey], tblRisposte[Valore], "")="Insufficiente","X",0)</f>
        <v>0</v>
      </c>
      <c r="S32" s="1">
        <f t="shared" si="4"/>
        <v>0</v>
      </c>
      <c r="T32" t="str" cm="1">
        <f t="array" ref="T32">_xlfn.LET(_xlpm.v,_xlfn.XLOOKUP(G32,tblValutazioni[TipoValutazione],tblValutazioni[NE],""),IF(_xlpm.v="","",_xlpm.v))</f>
        <v/>
      </c>
      <c r="U32" s="18">
        <f>IF(_xlfn.XLOOKUP($A32, tblRisposte[ItemKey], tblRisposte[Valore], "")="Non eseguito","X",0)</f>
        <v>0</v>
      </c>
      <c r="V32" s="1">
        <f t="shared" si="5"/>
        <v>0</v>
      </c>
      <c r="W32">
        <f>COUNTIF(I32,"x")+COUNTIF(L32,"x")+COUNTIF(O32,"x")+COUNTIF(R32,"x")+COUNTIF(U32,"x")</f>
        <v>0</v>
      </c>
      <c r="X32" t="str">
        <f>IF(COUNTIF(I32:U32,"X")=1,"OK","errore")</f>
        <v>errore</v>
      </c>
    </row>
    <row r="33" spans="1:24" ht="15" customHeight="1">
      <c r="A33" t="str">
        <f>IF(G33&lt;&gt;"",ScenaAttiva&amp;"_"&amp;AB$4&amp;TEXT(COUNTIF($G$3:G33,"&lt;&gt;"),"0000"),"")</f>
        <v/>
      </c>
      <c r="B33" t="str">
        <f>IF(A33&lt;&gt;"",SquadraAttiva,"")</f>
        <v/>
      </c>
      <c r="C33" t="str">
        <f t="shared" si="6"/>
        <v/>
      </c>
      <c r="D33" t="str">
        <f>IFERROR(_xlfn.XLOOKUP(C33,tblRisposte[idValutazione],tblRisposte[Valore],""),"")</f>
        <v/>
      </c>
      <c r="F33" t="s">
        <v>736</v>
      </c>
      <c r="H33" t="str" cm="1">
        <f t="array" ref="H33">_xlfn.LET(_xlpm.v,_xlfn.XLOOKUP(G33,tblValutazioni[TipoValutazione],tblValutazioni[MB],""),IF(_xlpm.v="","",_xlpm.v))</f>
        <v/>
      </c>
      <c r="I33" s="18">
        <f>IF(_xlfn.XLOOKUP($A33, tblRisposte[ItemKey],tblRisposte[Valore],"")="Molto bene","X",0)</f>
        <v>0</v>
      </c>
      <c r="J33" s="1">
        <f t="shared" si="1"/>
        <v>0</v>
      </c>
      <c r="K33" t="str" cm="1">
        <f t="array" ref="K33">_xlfn.LET(_xlpm.v,_xlfn.XLOOKUP(G33,tblValutazioni[TipoValutazione],tblValutazioni[BE],""),IF(_xlpm.v="","",_xlpm.v))</f>
        <v/>
      </c>
      <c r="L33" s="18">
        <f>IF(_xlfn.XLOOKUP($A33, tblRisposte[ItemKey], tblRisposte[Valore], "")="Bene","X",0)</f>
        <v>0</v>
      </c>
      <c r="M33" s="1">
        <f t="shared" si="2"/>
        <v>0</v>
      </c>
      <c r="N33" t="str" cm="1">
        <f t="array" ref="N33">_xlfn.LET(_xlpm.v,_xlfn.XLOOKUP(G33,tblValutazioni[TipoValutazione],tblValutazioni[SU],""),IF(_xlpm.v="","",_xlpm.v))</f>
        <v/>
      </c>
      <c r="O33" s="18">
        <f>IF(_xlfn.XLOOKUP($A33, tblRisposte[ItemKey], tblRisposte[Valore], "")="Soddisfacente","X",0)</f>
        <v>0</v>
      </c>
      <c r="P33" s="1">
        <f t="shared" si="3"/>
        <v>0</v>
      </c>
      <c r="Q33" t="str" cm="1">
        <f t="array" ref="Q33">_xlfn.LET(_xlpm.v,_xlfn.XLOOKUP(G33,tblValutazioni[TipoValutazione],tblValutazioni[IN],""),IF(_xlpm.v="","",_xlpm.v))</f>
        <v/>
      </c>
      <c r="R33" s="18">
        <f>IF(_xlfn.XLOOKUP($A33, tblRisposte[ItemKey], tblRisposte[Valore], "")="Insufficiente","X",0)</f>
        <v>0</v>
      </c>
      <c r="S33" s="1">
        <f t="shared" si="4"/>
        <v>0</v>
      </c>
      <c r="T33" t="str" cm="1">
        <f t="array" ref="T33">_xlfn.LET(_xlpm.v,_xlfn.XLOOKUP(G33,tblValutazioni[TipoValutazione],tblValutazioni[NE],""),IF(_xlpm.v="","",_xlpm.v))</f>
        <v/>
      </c>
      <c r="U33" s="18">
        <f>IF(_xlfn.XLOOKUP($A33, tblRisposte[ItemKey], tblRisposte[Valore], "")="Non eseguito","X",0)</f>
        <v>0</v>
      </c>
      <c r="V33" s="1">
        <f t="shared" si="5"/>
        <v>0</v>
      </c>
      <c r="W33">
        <f>COUNTIF(I33,"x")+COUNTIF(L33,"x")+COUNTIF(O33,"x")+COUNTIF(R33,"x")+COUNTIF(U33,"x")</f>
        <v>0</v>
      </c>
      <c r="X33" t="str">
        <f>IF(COUNTIF(I33:U33,"X")=1,"OK","errore")</f>
        <v>errore</v>
      </c>
    </row>
    <row r="34" spans="1:24" ht="15" customHeight="1">
      <c r="A34" t="str">
        <f>IF(G34&lt;&gt;"",ScenaAttiva&amp;"_"&amp;AB$4&amp;TEXT(COUNTIF($G$3:G34,"&lt;&gt;"),"0000"),"")</f>
        <v/>
      </c>
      <c r="B34" t="str">
        <f>IF(A34&lt;&gt;"",SquadraAttiva,"")</f>
        <v/>
      </c>
      <c r="C34" t="str">
        <f t="shared" si="6"/>
        <v/>
      </c>
      <c r="D34" t="str">
        <f>IFERROR(_xlfn.XLOOKUP(C34,tblRisposte[idValutazione],tblRisposte[Valore],""),"")</f>
        <v/>
      </c>
      <c r="F34" t="s">
        <v>737</v>
      </c>
      <c r="H34" t="str" cm="1">
        <f t="array" ref="H34">_xlfn.LET(_xlpm.v,_xlfn.XLOOKUP(G34,tblValutazioni[TipoValutazione],tblValutazioni[MB],""),IF(_xlpm.v="","",_xlpm.v))</f>
        <v/>
      </c>
      <c r="I34" s="18">
        <f>IF(_xlfn.XLOOKUP($A34, tblRisposte[ItemKey],tblRisposte[Valore],"")="Molto bene","X",0)</f>
        <v>0</v>
      </c>
      <c r="J34" s="1">
        <f t="shared" si="1"/>
        <v>0</v>
      </c>
      <c r="K34" t="str" cm="1">
        <f t="array" ref="K34">_xlfn.LET(_xlpm.v,_xlfn.XLOOKUP(G34,tblValutazioni[TipoValutazione],tblValutazioni[BE],""),IF(_xlpm.v="","",_xlpm.v))</f>
        <v/>
      </c>
      <c r="L34" s="18">
        <f>IF(_xlfn.XLOOKUP($A34, tblRisposte[ItemKey], tblRisposte[Valore], "")="Bene","X",0)</f>
        <v>0</v>
      </c>
      <c r="M34" s="1">
        <f t="shared" si="2"/>
        <v>0</v>
      </c>
      <c r="N34" t="str" cm="1">
        <f t="array" ref="N34">_xlfn.LET(_xlpm.v,_xlfn.XLOOKUP(G34,tblValutazioni[TipoValutazione],tblValutazioni[SU],""),IF(_xlpm.v="","",_xlpm.v))</f>
        <v/>
      </c>
      <c r="O34" s="18">
        <f>IF(_xlfn.XLOOKUP($A34, tblRisposte[ItemKey], tblRisposte[Valore], "")="Soddisfacente","X",0)</f>
        <v>0</v>
      </c>
      <c r="P34" s="1">
        <f t="shared" si="3"/>
        <v>0</v>
      </c>
      <c r="Q34" t="str" cm="1">
        <f t="array" ref="Q34">_xlfn.LET(_xlpm.v,_xlfn.XLOOKUP(G34,tblValutazioni[TipoValutazione],tblValutazioni[IN],""),IF(_xlpm.v="","",_xlpm.v))</f>
        <v/>
      </c>
      <c r="R34" s="18">
        <f>IF(_xlfn.XLOOKUP($A34, tblRisposte[ItemKey], tblRisposte[Valore], "")="Insufficiente","X",0)</f>
        <v>0</v>
      </c>
      <c r="S34" s="1">
        <f t="shared" si="4"/>
        <v>0</v>
      </c>
      <c r="T34" t="str" cm="1">
        <f t="array" ref="T34">_xlfn.LET(_xlpm.v,_xlfn.XLOOKUP(G34,tblValutazioni[TipoValutazione],tblValutazioni[NE],""),IF(_xlpm.v="","",_xlpm.v))</f>
        <v/>
      </c>
      <c r="U34" s="18">
        <f>IF(_xlfn.XLOOKUP($A34, tblRisposte[ItemKey], tblRisposte[Valore], "")="Non eseguito","X",0)</f>
        <v>0</v>
      </c>
      <c r="V34" s="1">
        <f t="shared" si="5"/>
        <v>0</v>
      </c>
      <c r="W34">
        <f>COUNTIF(I34,"x")+COUNTIF(L34,"x")+COUNTIF(O34,"x")+COUNTIF(R34,"x")+COUNTIF(U34,"x")</f>
        <v>0</v>
      </c>
      <c r="X34" t="str">
        <f>IF(COUNTIF(I34:U34,"X")=1,"OK","errore")</f>
        <v>errore</v>
      </c>
    </row>
    <row r="35" spans="1:24" ht="15" customHeight="1">
      <c r="A35" t="str">
        <f>IF(G35&lt;&gt;"",ScenaAttiva&amp;"_"&amp;AB$4&amp;TEXT(COUNTIF($G$3:G35,"&lt;&gt;"),"0000"),"")</f>
        <v/>
      </c>
      <c r="B35" t="str">
        <f>IF(A35&lt;&gt;"",SquadraAttiva,"")</f>
        <v/>
      </c>
      <c r="C35" t="str">
        <f t="shared" si="6"/>
        <v/>
      </c>
      <c r="D35" t="str">
        <f>IFERROR(_xlfn.XLOOKUP(C35,tblRisposte[idValutazione],tblRisposte[Valore],""),"")</f>
        <v/>
      </c>
      <c r="F35" t="s">
        <v>738</v>
      </c>
      <c r="H35" t="str" cm="1">
        <f t="array" ref="H35">_xlfn.LET(_xlpm.v,_xlfn.XLOOKUP(G35,tblValutazioni[TipoValutazione],tblValutazioni[MB],""),IF(_xlpm.v="","",_xlpm.v))</f>
        <v/>
      </c>
      <c r="I35" s="18">
        <f>IF(_xlfn.XLOOKUP($A35, tblRisposte[ItemKey],tblRisposte[Valore],"")="Molto bene","X",0)</f>
        <v>0</v>
      </c>
      <c r="J35" s="1">
        <f t="shared" si="1"/>
        <v>0</v>
      </c>
      <c r="K35" t="str" cm="1">
        <f t="array" ref="K35">_xlfn.LET(_xlpm.v,_xlfn.XLOOKUP(G35,tblValutazioni[TipoValutazione],tblValutazioni[BE],""),IF(_xlpm.v="","",_xlpm.v))</f>
        <v/>
      </c>
      <c r="L35" s="18">
        <f>IF(_xlfn.XLOOKUP($A35, tblRisposte[ItemKey], tblRisposte[Valore], "")="Bene","X",0)</f>
        <v>0</v>
      </c>
      <c r="M35" s="1">
        <f t="shared" si="2"/>
        <v>0</v>
      </c>
      <c r="N35" t="str" cm="1">
        <f t="array" ref="N35">_xlfn.LET(_xlpm.v,_xlfn.XLOOKUP(G35,tblValutazioni[TipoValutazione],tblValutazioni[SU],""),IF(_xlpm.v="","",_xlpm.v))</f>
        <v/>
      </c>
      <c r="O35" s="18">
        <f>IF(_xlfn.XLOOKUP($A35, tblRisposte[ItemKey], tblRisposte[Valore], "")="Soddisfacente","X",0)</f>
        <v>0</v>
      </c>
      <c r="P35" s="1">
        <f t="shared" si="3"/>
        <v>0</v>
      </c>
      <c r="Q35" t="str" cm="1">
        <f t="array" ref="Q35">_xlfn.LET(_xlpm.v,_xlfn.XLOOKUP(G35,tblValutazioni[TipoValutazione],tblValutazioni[IN],""),IF(_xlpm.v="","",_xlpm.v))</f>
        <v/>
      </c>
      <c r="R35" s="18">
        <f>IF(_xlfn.XLOOKUP($A35, tblRisposte[ItemKey], tblRisposte[Valore], "")="Insufficiente","X",0)</f>
        <v>0</v>
      </c>
      <c r="S35" s="1">
        <f t="shared" si="4"/>
        <v>0</v>
      </c>
      <c r="T35" t="str" cm="1">
        <f t="array" ref="T35">_xlfn.LET(_xlpm.v,_xlfn.XLOOKUP(G35,tblValutazioni[TipoValutazione],tblValutazioni[NE],""),IF(_xlpm.v="","",_xlpm.v))</f>
        <v/>
      </c>
      <c r="U35" s="18">
        <f>IF(_xlfn.XLOOKUP($A35, tblRisposte[ItemKey], tblRisposte[Valore], "")="Non eseguito","X",0)</f>
        <v>0</v>
      </c>
      <c r="V35" s="1">
        <f t="shared" si="5"/>
        <v>0</v>
      </c>
      <c r="W35">
        <f>COUNTIF(I35,"x")+COUNTIF(L35,"x")+COUNTIF(O35,"x")+COUNTIF(R35,"x")+COUNTIF(U35,"x")</f>
        <v>0</v>
      </c>
      <c r="X35" t="str">
        <f>IF(COUNTIF(I35:U35,"X")=1,"OK","errore")</f>
        <v>errore</v>
      </c>
    </row>
    <row r="36" spans="1:24" ht="15" customHeight="1">
      <c r="A36" t="str">
        <f>IF(G36&lt;&gt;"",ScenaAttiva&amp;"_"&amp;AB$4&amp;TEXT(COUNTIF($G$3:G36,"&lt;&gt;"),"0000"),"")</f>
        <v/>
      </c>
      <c r="B36" t="str">
        <f>IF(A36&lt;&gt;"",SquadraAttiva,"")</f>
        <v/>
      </c>
      <c r="C36" t="str">
        <f t="shared" si="6"/>
        <v/>
      </c>
      <c r="D36" t="str">
        <f>IFERROR(_xlfn.XLOOKUP(C36,tblRisposte[idValutazione],tblRisposte[Valore],""),"")</f>
        <v/>
      </c>
      <c r="F36" t="s">
        <v>739</v>
      </c>
      <c r="H36" t="str" cm="1">
        <f t="array" ref="H36">_xlfn.LET(_xlpm.v,_xlfn.XLOOKUP(G36,tblValutazioni[TipoValutazione],tblValutazioni[MB],""),IF(_xlpm.v="","",_xlpm.v))</f>
        <v/>
      </c>
      <c r="I36" s="18">
        <f>IF(_xlfn.XLOOKUP($A36, tblRisposte[ItemKey],tblRisposte[Valore],"")="Molto bene","X",0)</f>
        <v>0</v>
      </c>
      <c r="J36" s="1">
        <f t="shared" si="1"/>
        <v>0</v>
      </c>
      <c r="K36" t="str" cm="1">
        <f t="array" ref="K36">_xlfn.LET(_xlpm.v,_xlfn.XLOOKUP(G36,tblValutazioni[TipoValutazione],tblValutazioni[BE],""),IF(_xlpm.v="","",_xlpm.v))</f>
        <v/>
      </c>
      <c r="L36" s="18">
        <f>IF(_xlfn.XLOOKUP($A36, tblRisposte[ItemKey], tblRisposte[Valore], "")="Bene","X",0)</f>
        <v>0</v>
      </c>
      <c r="M36" s="1">
        <f t="shared" si="2"/>
        <v>0</v>
      </c>
      <c r="N36" t="str" cm="1">
        <f t="array" ref="N36">_xlfn.LET(_xlpm.v,_xlfn.XLOOKUP(G36,tblValutazioni[TipoValutazione],tblValutazioni[SU],""),IF(_xlpm.v="","",_xlpm.v))</f>
        <v/>
      </c>
      <c r="O36" s="18">
        <f>IF(_xlfn.XLOOKUP($A36, tblRisposte[ItemKey], tblRisposte[Valore], "")="Soddisfacente","X",0)</f>
        <v>0</v>
      </c>
      <c r="P36" s="1">
        <f t="shared" si="3"/>
        <v>0</v>
      </c>
      <c r="Q36" t="str" cm="1">
        <f t="array" ref="Q36">_xlfn.LET(_xlpm.v,_xlfn.XLOOKUP(G36,tblValutazioni[TipoValutazione],tblValutazioni[IN],""),IF(_xlpm.v="","",_xlpm.v))</f>
        <v/>
      </c>
      <c r="R36" s="18">
        <f>IF(_xlfn.XLOOKUP($A36, tblRisposte[ItemKey], tblRisposte[Valore], "")="Insufficiente","X",0)</f>
        <v>0</v>
      </c>
      <c r="S36" s="1">
        <f t="shared" si="4"/>
        <v>0</v>
      </c>
      <c r="T36" t="str" cm="1">
        <f t="array" ref="T36">_xlfn.LET(_xlpm.v,_xlfn.XLOOKUP(G36,tblValutazioni[TipoValutazione],tblValutazioni[NE],""),IF(_xlpm.v="","",_xlpm.v))</f>
        <v/>
      </c>
      <c r="U36" s="18">
        <f>IF(_xlfn.XLOOKUP($A36, tblRisposte[ItemKey], tblRisposte[Valore], "")="Non eseguito","X",0)</f>
        <v>0</v>
      </c>
      <c r="V36" s="1">
        <f t="shared" si="5"/>
        <v>0</v>
      </c>
      <c r="W36">
        <f>COUNTIF(I36,"x")+COUNTIF(L36,"x")+COUNTIF(O36,"x")+COUNTIF(R36,"x")+COUNTIF(U36,"x")</f>
        <v>0</v>
      </c>
      <c r="X36" t="str">
        <f>IF(COUNTIF(I36:U36,"X")=1,"OK","errore")</f>
        <v>errore</v>
      </c>
    </row>
    <row r="37" spans="1:24" ht="15" customHeight="1">
      <c r="A37" t="str">
        <f>IF(G37&lt;&gt;"",ScenaAttiva&amp;"_"&amp;AB$4&amp;TEXT(COUNTIF($G$3:G37,"&lt;&gt;"),"0000"),"")</f>
        <v/>
      </c>
      <c r="B37" t="str">
        <f>IF(A37&lt;&gt;"",SquadraAttiva,"")</f>
        <v/>
      </c>
      <c r="C37" t="str">
        <f t="shared" si="6"/>
        <v/>
      </c>
      <c r="D37" t="str">
        <f>IFERROR(_xlfn.XLOOKUP(C37,tblRisposte[idValutazione],tblRisposte[Valore],""),"")</f>
        <v/>
      </c>
      <c r="F37" t="s">
        <v>740</v>
      </c>
      <c r="H37" t="str" cm="1">
        <f t="array" ref="H37">_xlfn.LET(_xlpm.v,_xlfn.XLOOKUP(G37,tblValutazioni[TipoValutazione],tblValutazioni[MB],""),IF(_xlpm.v="","",_xlpm.v))</f>
        <v/>
      </c>
      <c r="I37" s="18">
        <f>IF(_xlfn.XLOOKUP($A37, tblRisposte[ItemKey],tblRisposte[Valore],"")="Molto bene","X",0)</f>
        <v>0</v>
      </c>
      <c r="J37" s="1">
        <f t="shared" si="1"/>
        <v>0</v>
      </c>
      <c r="K37" t="str" cm="1">
        <f t="array" ref="K37">_xlfn.LET(_xlpm.v,_xlfn.XLOOKUP(G37,tblValutazioni[TipoValutazione],tblValutazioni[BE],""),IF(_xlpm.v="","",_xlpm.v))</f>
        <v/>
      </c>
      <c r="L37" s="18">
        <f>IF(_xlfn.XLOOKUP($A37, tblRisposte[ItemKey], tblRisposte[Valore], "")="Bene","X",0)</f>
        <v>0</v>
      </c>
      <c r="M37" s="1">
        <f t="shared" si="2"/>
        <v>0</v>
      </c>
      <c r="N37" t="str" cm="1">
        <f t="array" ref="N37">_xlfn.LET(_xlpm.v,_xlfn.XLOOKUP(G37,tblValutazioni[TipoValutazione],tblValutazioni[SU],""),IF(_xlpm.v="","",_xlpm.v))</f>
        <v/>
      </c>
      <c r="O37" s="18">
        <f>IF(_xlfn.XLOOKUP($A37, tblRisposte[ItemKey], tblRisposte[Valore], "")="Soddisfacente","X",0)</f>
        <v>0</v>
      </c>
      <c r="P37" s="1">
        <f t="shared" si="3"/>
        <v>0</v>
      </c>
      <c r="Q37" t="str" cm="1">
        <f t="array" ref="Q37">_xlfn.LET(_xlpm.v,_xlfn.XLOOKUP(G37,tblValutazioni[TipoValutazione],tblValutazioni[IN],""),IF(_xlpm.v="","",_xlpm.v))</f>
        <v/>
      </c>
      <c r="R37" s="18">
        <f>IF(_xlfn.XLOOKUP($A37, tblRisposte[ItemKey], tblRisposte[Valore], "")="Insufficiente","X",0)</f>
        <v>0</v>
      </c>
      <c r="S37" s="1">
        <f t="shared" si="4"/>
        <v>0</v>
      </c>
      <c r="T37" t="str" cm="1">
        <f t="array" ref="T37">_xlfn.LET(_xlpm.v,_xlfn.XLOOKUP(G37,tblValutazioni[TipoValutazione],tblValutazioni[NE],""),IF(_xlpm.v="","",_xlpm.v))</f>
        <v/>
      </c>
      <c r="U37" s="18">
        <f>IF(_xlfn.XLOOKUP($A37, tblRisposte[ItemKey], tblRisposte[Valore], "")="Non eseguito","X",0)</f>
        <v>0</v>
      </c>
      <c r="V37" s="1">
        <f t="shared" si="5"/>
        <v>0</v>
      </c>
      <c r="W37">
        <f>COUNTIF(I37,"x")+COUNTIF(L37,"x")+COUNTIF(O37,"x")+COUNTIF(R37,"x")+COUNTIF(U37,"x")</f>
        <v>0</v>
      </c>
      <c r="X37" t="str">
        <f>IF(COUNTIF(I37:U37,"X")=1,"OK","errore")</f>
        <v>errore</v>
      </c>
    </row>
    <row r="38" spans="1:24" ht="15" customHeight="1">
      <c r="A38" t="str">
        <f>IF(G38&lt;&gt;"",ScenaAttiva&amp;"_"&amp;AB$4&amp;TEXT(COUNTIF($G$3:G38,"&lt;&gt;"),"0000"),"")</f>
        <v/>
      </c>
      <c r="B38" t="str">
        <f>IF(A38&lt;&gt;"",SquadraAttiva,"")</f>
        <v/>
      </c>
      <c r="C38" t="str">
        <f t="shared" si="6"/>
        <v/>
      </c>
      <c r="D38" t="str">
        <f>IFERROR(_xlfn.XLOOKUP(C38,tblRisposte[idValutazione],tblRisposte[Valore],""),"")</f>
        <v/>
      </c>
      <c r="F38" t="s">
        <v>741</v>
      </c>
      <c r="H38" t="str" cm="1">
        <f t="array" ref="H38">_xlfn.LET(_xlpm.v,_xlfn.XLOOKUP(G38,tblValutazioni[TipoValutazione],tblValutazioni[MB],""),IF(_xlpm.v="","",_xlpm.v))</f>
        <v/>
      </c>
      <c r="I38" s="18">
        <f>IF(_xlfn.XLOOKUP($A38, tblRisposte[ItemKey],tblRisposte[Valore],"")="Molto bene","X",0)</f>
        <v>0</v>
      </c>
      <c r="J38" s="1">
        <f t="shared" si="1"/>
        <v>0</v>
      </c>
      <c r="K38" t="str" cm="1">
        <f t="array" ref="K38">_xlfn.LET(_xlpm.v,_xlfn.XLOOKUP(G38,tblValutazioni[TipoValutazione],tblValutazioni[BE],""),IF(_xlpm.v="","",_xlpm.v))</f>
        <v/>
      </c>
      <c r="L38" s="18">
        <f>IF(_xlfn.XLOOKUP($A38, tblRisposte[ItemKey], tblRisposte[Valore], "")="Bene","X",0)</f>
        <v>0</v>
      </c>
      <c r="M38" s="1">
        <f t="shared" si="2"/>
        <v>0</v>
      </c>
      <c r="N38" t="str" cm="1">
        <f t="array" ref="N38">_xlfn.LET(_xlpm.v,_xlfn.XLOOKUP(G38,tblValutazioni[TipoValutazione],tblValutazioni[SU],""),IF(_xlpm.v="","",_xlpm.v))</f>
        <v/>
      </c>
      <c r="O38" s="18">
        <f>IF(_xlfn.XLOOKUP($A38, tblRisposte[ItemKey], tblRisposte[Valore], "")="Soddisfacente","X",0)</f>
        <v>0</v>
      </c>
      <c r="P38" s="1">
        <f t="shared" si="3"/>
        <v>0</v>
      </c>
      <c r="Q38" t="str" cm="1">
        <f t="array" ref="Q38">_xlfn.LET(_xlpm.v,_xlfn.XLOOKUP(G38,tblValutazioni[TipoValutazione],tblValutazioni[IN],""),IF(_xlpm.v="","",_xlpm.v))</f>
        <v/>
      </c>
      <c r="R38" s="18">
        <f>IF(_xlfn.XLOOKUP($A38, tblRisposte[ItemKey], tblRisposte[Valore], "")="Insufficiente","X",0)</f>
        <v>0</v>
      </c>
      <c r="S38" s="1">
        <f t="shared" si="4"/>
        <v>0</v>
      </c>
      <c r="T38" t="str" cm="1">
        <f t="array" ref="T38">_xlfn.LET(_xlpm.v,_xlfn.XLOOKUP(G38,tblValutazioni[TipoValutazione],tblValutazioni[NE],""),IF(_xlpm.v="","",_xlpm.v))</f>
        <v/>
      </c>
      <c r="U38" s="18">
        <f>IF(_xlfn.XLOOKUP($A38, tblRisposte[ItemKey], tblRisposte[Valore], "")="Non eseguito","X",0)</f>
        <v>0</v>
      </c>
      <c r="V38" s="1">
        <f t="shared" si="5"/>
        <v>0</v>
      </c>
      <c r="W38">
        <f>COUNTIF(I38,"x")+COUNTIF(L38,"x")+COUNTIF(O38,"x")+COUNTIF(R38,"x")+COUNTIF(U38,"x")</f>
        <v>0</v>
      </c>
      <c r="X38" t="str">
        <f>IF(COUNTIF(I38:U38,"X")=1,"OK","errore")</f>
        <v>errore</v>
      </c>
    </row>
    <row r="39" spans="1:24" ht="15" customHeight="1">
      <c r="A39" t="str">
        <f>IF(G39&lt;&gt;"",ScenaAttiva&amp;"_"&amp;AB$4&amp;TEXT(COUNTIF($G$3:G39,"&lt;&gt;"),"0000"),"")</f>
        <v/>
      </c>
      <c r="B39" t="str">
        <f>IF(A39&lt;&gt;"",SquadraAttiva,"")</f>
        <v/>
      </c>
      <c r="C39" t="str">
        <f t="shared" si="6"/>
        <v/>
      </c>
      <c r="D39" t="str">
        <f>IFERROR(_xlfn.XLOOKUP(C39,tblRisposte[idValutazione],tblRisposte[Valore],""),"")</f>
        <v/>
      </c>
      <c r="F39" t="s">
        <v>722</v>
      </c>
      <c r="H39" t="str" cm="1">
        <f t="array" ref="H39">_xlfn.LET(_xlpm.v,_xlfn.XLOOKUP(G39,tblValutazioni[TipoValutazione],tblValutazioni[MB],""),IF(_xlpm.v="","",_xlpm.v))</f>
        <v/>
      </c>
      <c r="I39" s="18">
        <f>IF(_xlfn.XLOOKUP($A39, tblRisposte[ItemKey],tblRisposte[Valore],"")="Molto bene","X",0)</f>
        <v>0</v>
      </c>
      <c r="J39" s="1">
        <f t="shared" si="1"/>
        <v>0</v>
      </c>
      <c r="K39" t="str" cm="1">
        <f t="array" ref="K39">_xlfn.LET(_xlpm.v,_xlfn.XLOOKUP(G39,tblValutazioni[TipoValutazione],tblValutazioni[BE],""),IF(_xlpm.v="","",_xlpm.v))</f>
        <v/>
      </c>
      <c r="L39" s="18">
        <f>IF(_xlfn.XLOOKUP($A39, tblRisposte[ItemKey], tblRisposte[Valore], "")="Bene","X",0)</f>
        <v>0</v>
      </c>
      <c r="M39" s="1">
        <f t="shared" si="2"/>
        <v>0</v>
      </c>
      <c r="N39" t="str" cm="1">
        <f t="array" ref="N39">_xlfn.LET(_xlpm.v,_xlfn.XLOOKUP(G39,tblValutazioni[TipoValutazione],tblValutazioni[SU],""),IF(_xlpm.v="","",_xlpm.v))</f>
        <v/>
      </c>
      <c r="O39" s="18">
        <f>IF(_xlfn.XLOOKUP($A39, tblRisposte[ItemKey], tblRisposte[Valore], "")="Soddisfacente","X",0)</f>
        <v>0</v>
      </c>
      <c r="P39" s="1">
        <f t="shared" si="3"/>
        <v>0</v>
      </c>
      <c r="Q39" t="str" cm="1">
        <f t="array" ref="Q39">_xlfn.LET(_xlpm.v,_xlfn.XLOOKUP(G39,tblValutazioni[TipoValutazione],tblValutazioni[IN],""),IF(_xlpm.v="","",_xlpm.v))</f>
        <v/>
      </c>
      <c r="R39" s="18">
        <f>IF(_xlfn.XLOOKUP($A39, tblRisposte[ItemKey], tblRisposte[Valore], "")="Insufficiente","X",0)</f>
        <v>0</v>
      </c>
      <c r="S39" s="1">
        <f t="shared" si="4"/>
        <v>0</v>
      </c>
      <c r="T39" t="str" cm="1">
        <f t="array" ref="T39">_xlfn.LET(_xlpm.v,_xlfn.XLOOKUP(G39,tblValutazioni[TipoValutazione],tblValutazioni[NE],""),IF(_xlpm.v="","",_xlpm.v))</f>
        <v/>
      </c>
      <c r="U39" s="18">
        <f>IF(_xlfn.XLOOKUP($A39, tblRisposte[ItemKey], tblRisposte[Valore], "")="Non eseguito","X",0)</f>
        <v>0</v>
      </c>
      <c r="V39" s="1">
        <f t="shared" si="5"/>
        <v>0</v>
      </c>
      <c r="W39">
        <f>COUNTIF(I39,"x")+COUNTIF(L39,"x")+COUNTIF(O39,"x")+COUNTIF(R39,"x")+COUNTIF(U39,"x")</f>
        <v>0</v>
      </c>
      <c r="X39" t="str">
        <f>IF(COUNTIF(I39:U39,"X")=1,"OK","errore")</f>
        <v>errore</v>
      </c>
    </row>
    <row r="40" spans="1:24">
      <c r="A40" t="str">
        <f>IF(G40&lt;&gt;"",ScenaAttiva&amp;"_"&amp;AB$4&amp;TEXT(COUNTIF($G$3:G40,"&lt;&gt;"),"0000"),"")</f>
        <v/>
      </c>
      <c r="B40" t="str">
        <f>IF(A40&lt;&gt;"",SquadraAttiva,"")</f>
        <v/>
      </c>
      <c r="C40" t="str">
        <f t="shared" si="6"/>
        <v/>
      </c>
      <c r="D40" t="str">
        <f>IFERROR(_xlfn.XLOOKUP(C40,tblRisposte[idValutazione],tblRisposte[Valore],""),"")</f>
        <v/>
      </c>
      <c r="F40" t="s">
        <v>723</v>
      </c>
      <c r="H40" t="str" cm="1">
        <f t="array" ref="H40">_xlfn.LET(_xlpm.v,_xlfn.XLOOKUP(G40,tblValutazioni[TipoValutazione],tblValutazioni[MB],""),IF(_xlpm.v="","",_xlpm.v))</f>
        <v/>
      </c>
      <c r="I40" s="18">
        <f>IF(_xlfn.XLOOKUP($A40, tblRisposte[ItemKey],tblRisposte[Valore],"")="Molto bene","X",0)</f>
        <v>0</v>
      </c>
      <c r="J40" s="1">
        <f t="shared" si="1"/>
        <v>0</v>
      </c>
      <c r="K40" t="str" cm="1">
        <f t="array" ref="K40">_xlfn.LET(_xlpm.v,_xlfn.XLOOKUP(G40,tblValutazioni[TipoValutazione],tblValutazioni[BE],""),IF(_xlpm.v="","",_xlpm.v))</f>
        <v/>
      </c>
      <c r="L40" s="18">
        <f>IF(_xlfn.XLOOKUP($A40, tblRisposte[ItemKey], tblRisposte[Valore], "")="Bene","X",0)</f>
        <v>0</v>
      </c>
      <c r="M40" s="1">
        <f t="shared" si="2"/>
        <v>0</v>
      </c>
      <c r="N40" t="str" cm="1">
        <f t="array" ref="N40">_xlfn.LET(_xlpm.v,_xlfn.XLOOKUP(G40,tblValutazioni[TipoValutazione],tblValutazioni[SU],""),IF(_xlpm.v="","",_xlpm.v))</f>
        <v/>
      </c>
      <c r="O40" s="18">
        <f>IF(_xlfn.XLOOKUP($A40, tblRisposte[ItemKey], tblRisposte[Valore], "")="Soddisfacente","X",0)</f>
        <v>0</v>
      </c>
      <c r="P40" s="1">
        <f t="shared" si="3"/>
        <v>0</v>
      </c>
      <c r="Q40" t="str" cm="1">
        <f t="array" ref="Q40">_xlfn.LET(_xlpm.v,_xlfn.XLOOKUP(G40,tblValutazioni[TipoValutazione],tblValutazioni[IN],""),IF(_xlpm.v="","",_xlpm.v))</f>
        <v/>
      </c>
      <c r="R40" s="18">
        <f>IF(_xlfn.XLOOKUP($A40, tblRisposte[ItemKey], tblRisposte[Valore], "")="Insufficiente","X",0)</f>
        <v>0</v>
      </c>
      <c r="S40" s="1">
        <f t="shared" si="4"/>
        <v>0</v>
      </c>
      <c r="T40" t="str" cm="1">
        <f t="array" ref="T40">_xlfn.LET(_xlpm.v,_xlfn.XLOOKUP(G40,tblValutazioni[TipoValutazione],tblValutazioni[NE],""),IF(_xlpm.v="","",_xlpm.v))</f>
        <v/>
      </c>
      <c r="U40" s="18">
        <f>IF(_xlfn.XLOOKUP($A40, tblRisposte[ItemKey], tblRisposte[Valore], "")="Non eseguito","X",0)</f>
        <v>0</v>
      </c>
      <c r="V40" s="1">
        <f t="shared" si="5"/>
        <v>0</v>
      </c>
      <c r="W40">
        <f>COUNTIF(I40,"x")+COUNTIF(L40,"x")+COUNTIF(O40,"x")+COUNTIF(R40,"x")+COUNTIF(U40,"x")</f>
        <v>0</v>
      </c>
      <c r="X40" t="str">
        <f>IF(COUNTIF(I40:U40,"X")=1,"OK","errore")</f>
        <v>errore</v>
      </c>
    </row>
    <row r="41" spans="1:24">
      <c r="A41" s="23"/>
      <c r="B41" s="23"/>
      <c r="C41" s="23"/>
      <c r="D41" s="23"/>
      <c r="E41" s="23"/>
      <c r="F41" s="23" t="s">
        <v>728</v>
      </c>
      <c r="G41" s="23"/>
      <c r="H41" s="23"/>
      <c r="I41" s="23">
        <f>SUM(J2:J40)</f>
        <v>0</v>
      </c>
      <c r="J41" s="23"/>
      <c r="K41" s="24"/>
      <c r="L41" s="23">
        <f>SUM(M2:M40)</f>
        <v>0</v>
      </c>
      <c r="M41" s="23"/>
      <c r="N41" s="24"/>
      <c r="O41" s="23">
        <f>SUM(P2:P40)</f>
        <v>0</v>
      </c>
      <c r="P41" s="23"/>
      <c r="Q41" s="24"/>
      <c r="R41" s="23">
        <f>SUM(S2:S40)</f>
        <v>0</v>
      </c>
      <c r="S41" s="23"/>
      <c r="T41" s="24"/>
      <c r="U41" s="23">
        <f>SUM(V2:V40)</f>
        <v>0</v>
      </c>
      <c r="V41" s="23"/>
      <c r="W41" s="23"/>
      <c r="X41" s="23"/>
    </row>
    <row r="42" spans="1:24">
      <c r="A42" s="23"/>
      <c r="B42" s="23"/>
      <c r="C42" s="23"/>
      <c r="D42" s="23"/>
      <c r="E42" s="23"/>
      <c r="F42" s="25" t="s">
        <v>728</v>
      </c>
      <c r="G42" s="25"/>
      <c r="H42" s="25"/>
      <c r="I42" s="25"/>
      <c r="J42" s="25">
        <f>I41+L41+O41+R41+U41</f>
        <v>0</v>
      </c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</row>
    <row r="43" spans="1:24">
      <c r="A43" s="23"/>
      <c r="B43" s="23"/>
      <c r="C43" s="23"/>
      <c r="D43" s="23"/>
      <c r="E43" s="23"/>
      <c r="F43" s="25" t="s">
        <v>653</v>
      </c>
      <c r="G43" s="23"/>
      <c r="H43" s="23"/>
      <c r="I43" s="23"/>
      <c r="J43" s="23">
        <f>SUM(Y5:Y41)</f>
        <v>0</v>
      </c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</row>
  </sheetData>
  <mergeCells count="5">
    <mergeCell ref="K1:M1"/>
    <mergeCell ref="Q1:S1"/>
    <mergeCell ref="T1:V1"/>
    <mergeCell ref="H1:J1"/>
    <mergeCell ref="N1:P1"/>
  </mergeCells>
  <conditionalFormatting sqref="X2">
    <cfRule type="containsText" dxfId="28" priority="23" operator="containsText" text="OK">
      <formula>NOT(ISERROR(SEARCH("OK",X2)))</formula>
    </cfRule>
    <cfRule type="containsText" dxfId="27" priority="24" operator="containsText" text="errore">
      <formula>NOT(ISERROR(SEARCH("errore",X2)))</formula>
    </cfRule>
  </conditionalFormatting>
  <conditionalFormatting sqref="X3:X40">
    <cfRule type="containsText" dxfId="26" priority="1" operator="containsText" text="OK">
      <formula>NOT(ISERROR(SEARCH("OK",X3)))</formula>
    </cfRule>
    <cfRule type="containsText" dxfId="25" priority="2" operator="containsText" text="errore">
      <formula>NOT(ISERROR(SEARCH("errore",X3)))</formula>
    </cfRule>
  </conditionalFormatting>
  <dataValidations count="1">
    <dataValidation type="list" allowBlank="1" showInputMessage="1" showErrorMessage="1" sqref="G3:G40" xr:uid="{81E36A5F-AD47-411F-8AAC-414356267F4D}">
      <formula1>lstTipoValutazione</formula1>
    </dataValidation>
  </dataValidation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glio2">
    <pageSetUpPr fitToPage="1"/>
  </sheetPr>
  <dimension ref="A1:P54"/>
  <sheetViews>
    <sheetView zoomScaleNormal="100" workbookViewId="0">
      <selection activeCell="A11" sqref="A11:E11"/>
    </sheetView>
  </sheetViews>
  <sheetFormatPr defaultColWidth="8.85546875" defaultRowHeight="14.45"/>
  <cols>
    <col min="1" max="2" width="9.42578125" customWidth="1"/>
    <col min="3" max="3" width="10.42578125" customWidth="1"/>
    <col min="4" max="4" width="15.5703125" customWidth="1"/>
    <col min="5" max="5" width="10.42578125" customWidth="1"/>
    <col min="6" max="10" width="9.42578125" customWidth="1"/>
  </cols>
  <sheetData>
    <row r="1" spans="1:16" ht="15">
      <c r="A1" s="61"/>
      <c r="B1" s="62"/>
      <c r="C1" s="93" t="s">
        <v>752</v>
      </c>
      <c r="D1" s="93"/>
      <c r="E1" s="93"/>
      <c r="F1" s="93"/>
      <c r="G1" s="93"/>
      <c r="H1" s="93"/>
      <c r="I1" s="62"/>
      <c r="J1" s="87"/>
    </row>
    <row r="2" spans="1:16" ht="15">
      <c r="A2" s="34"/>
      <c r="C2" s="94"/>
      <c r="D2" s="94"/>
      <c r="E2" s="94"/>
      <c r="F2" s="94"/>
      <c r="G2" s="94"/>
      <c r="H2" s="94"/>
      <c r="J2" s="36"/>
    </row>
    <row r="3" spans="1:16" ht="14.45" customHeight="1">
      <c r="A3" s="34"/>
      <c r="C3" s="95" t="s">
        <v>753</v>
      </c>
      <c r="D3" s="95"/>
      <c r="E3" s="95"/>
      <c r="F3" s="95"/>
      <c r="G3" s="95"/>
      <c r="H3" s="95"/>
      <c r="J3" s="36"/>
    </row>
    <row r="4" spans="1:16" ht="14.45" customHeight="1">
      <c r="A4" s="34"/>
      <c r="C4" s="95"/>
      <c r="D4" s="95"/>
      <c r="E4" s="95"/>
      <c r="F4" s="95"/>
      <c r="G4" s="95"/>
      <c r="H4" s="95"/>
      <c r="J4" s="36"/>
    </row>
    <row r="5" spans="1:16" ht="18" customHeight="1">
      <c r="A5" s="34"/>
      <c r="C5" s="96" t="s">
        <v>754</v>
      </c>
      <c r="D5" s="96"/>
      <c r="E5" s="96"/>
      <c r="F5" s="96"/>
      <c r="G5" s="96"/>
      <c r="H5" s="96"/>
      <c r="J5" s="36"/>
    </row>
    <row r="6" spans="1:16" ht="14.45" customHeight="1">
      <c r="A6" s="34"/>
      <c r="C6" s="96"/>
      <c r="D6" s="96"/>
      <c r="E6" s="96"/>
      <c r="F6" s="96"/>
      <c r="G6" s="96"/>
      <c r="H6" s="96"/>
      <c r="J6" s="36"/>
    </row>
    <row r="7" spans="1:16" ht="5.25" customHeight="1">
      <c r="A7" s="34"/>
      <c r="J7" s="36"/>
    </row>
    <row r="8" spans="1:16" ht="5.25" customHeight="1">
      <c r="A8" s="34"/>
      <c r="J8" s="36"/>
    </row>
    <row r="9" spans="1:16" ht="16.5" customHeight="1">
      <c r="A9" s="115" t="str">
        <f>ScenaAttiva &amp; TEXT(SquadraAttiva,"00")&amp; "M"</f>
        <v>A03M</v>
      </c>
      <c r="B9" s="115"/>
      <c r="C9" s="99" t="s">
        <v>715</v>
      </c>
      <c r="D9" s="100"/>
      <c r="E9" s="43" t="s">
        <v>661</v>
      </c>
      <c r="F9" s="110" t="s">
        <v>280</v>
      </c>
      <c r="G9" s="108" t="str">
        <f>IF(INDEX(tblSchede[Giudice],MATCH("M",tblSchede[SimulatoreCodice],0))="","",INDEX(tblSchede[Giudice],MATCH("M",tblSchede[SimulatoreCodice],0)))</f>
        <v/>
      </c>
      <c r="H9" s="146"/>
      <c r="I9" s="146"/>
      <c r="J9" s="146"/>
    </row>
    <row r="10" spans="1:16" ht="14.25" customHeight="1">
      <c r="A10" s="131"/>
      <c r="B10" s="131"/>
      <c r="C10" s="137" t="str">
        <f>ScenaAttiva</f>
        <v>A</v>
      </c>
      <c r="D10" s="138"/>
      <c r="E10" s="63" t="str">
        <f>IF(INDEX(tblSchede[SimulatoreCodice],MATCH("M",tblSchede[SimulatoreCodice],0))="M","",INDEX(tblSchede[SimulatoreCodice],MATCH("M",tblSchede[SimulatoreCodice],0)))</f>
        <v/>
      </c>
      <c r="F10" s="147"/>
      <c r="G10" s="147"/>
      <c r="H10" s="147"/>
      <c r="I10" s="147"/>
      <c r="J10" s="147"/>
    </row>
    <row r="11" spans="1:16" ht="14.25" customHeight="1">
      <c r="A11" s="97" t="s">
        <v>278</v>
      </c>
      <c r="B11" s="97"/>
      <c r="C11" s="98" t="str">
        <f>IFERROR(CONTROLLO!$B$8 &amp; "-" &amp; INDEX(tblSquadre[Squadra_Nome],MATCH(CONTROLLO!$B$8,tblSquadre[SquadraID],0)),"")</f>
        <v>3-Liguria 1</v>
      </c>
      <c r="D11" s="98"/>
      <c r="E11" s="98"/>
      <c r="F11" s="89"/>
      <c r="G11" s="89"/>
      <c r="H11" s="90"/>
      <c r="I11" s="90"/>
      <c r="J11" s="53"/>
      <c r="P11" s="22"/>
    </row>
    <row r="12" spans="1:16" ht="14.25" customHeight="1">
      <c r="A12" s="129" t="str">
        <f>TitoloScenaAttivo</f>
        <v>Una Scuola Stupefacente</v>
      </c>
      <c r="B12" s="144"/>
      <c r="C12" s="144"/>
      <c r="D12" s="144"/>
      <c r="E12" s="144"/>
      <c r="F12" s="34"/>
      <c r="H12" s="88"/>
      <c r="I12" s="88"/>
      <c r="J12" s="35"/>
    </row>
    <row r="13" spans="1:16" ht="14.25" customHeight="1">
      <c r="A13" s="148"/>
      <c r="B13" s="149"/>
      <c r="C13" s="149"/>
      <c r="D13" s="149"/>
      <c r="E13" s="149"/>
      <c r="F13" s="37"/>
      <c r="G13" s="38"/>
      <c r="H13" s="59"/>
      <c r="I13" s="59"/>
      <c r="J13" s="60"/>
    </row>
    <row r="14" spans="1:16" ht="3" customHeight="1">
      <c r="A14" s="34"/>
      <c r="J14" s="36"/>
    </row>
    <row r="15" spans="1:16" ht="50.25" customHeight="1">
      <c r="A15" s="107" t="str">
        <f>INDEX(tblSchede[Patologia],MATCH("M",tblSchede[SimulatoreCodice],0))</f>
        <v>Master</v>
      </c>
      <c r="B15" s="146"/>
      <c r="C15" s="146"/>
      <c r="D15" s="146"/>
      <c r="E15" s="146"/>
      <c r="F15" s="44" t="s">
        <v>755</v>
      </c>
      <c r="G15" s="44" t="s">
        <v>756</v>
      </c>
      <c r="H15" s="45" t="s">
        <v>757</v>
      </c>
      <c r="I15" s="46" t="s">
        <v>758</v>
      </c>
      <c r="J15" s="46" t="s">
        <v>759</v>
      </c>
    </row>
    <row r="16" spans="1:16" ht="15.95" customHeight="1">
      <c r="A16" s="146"/>
      <c r="B16" s="146"/>
      <c r="C16" s="146"/>
      <c r="D16" s="146"/>
      <c r="E16" s="146"/>
      <c r="F16" s="47" t="s">
        <v>760</v>
      </c>
      <c r="G16" s="47" t="s">
        <v>761</v>
      </c>
      <c r="H16" s="48" t="s">
        <v>762</v>
      </c>
      <c r="I16" s="49" t="s">
        <v>763</v>
      </c>
      <c r="J16" s="49" t="s">
        <v>764</v>
      </c>
    </row>
    <row r="17" spans="1:10" ht="15">
      <c r="A17" s="65" t="str">
        <f>'Calcolo Master'!F2</f>
        <v>AUTOPROTEZIONE e SICUREZZA</v>
      </c>
      <c r="B17" s="16"/>
      <c r="C17" s="16"/>
      <c r="D17" s="16"/>
      <c r="E17" s="16"/>
      <c r="F17" s="64" t="str">
        <f>IF(CONTROLLO!$B$13="SI", "",_xlfn.LET(_xlpm.v, _xlfn.XLOOKUP('Calcolo Master'!$G2, Valutazioni!$A$2:$A$20, Valutazioni!$B$2:$B$20, ""),IF(AND('Calcolo Master'!$D2&lt;&gt;"", _xlpm.v&lt;&gt;"", 'Calcolo Master'!$D2=_xlpm.v), "X", "")))</f>
        <v/>
      </c>
      <c r="G17" s="64" t="str">
        <f>IF(CONTROLLO!$B$13="SI", "",_xlfn.LET(_xlpm.v, _xlfn.XLOOKUP('Calcolo Master'!$G2, Valutazioni!$A$2:$A$20, Valutazioni!$C$2:$C$20, ""),IF(AND('Calcolo Master'!$D2&lt;&gt;"", _xlpm.v&lt;&gt;"", 'Calcolo Master'!$D2=_xlpm.v), "X", "")))</f>
        <v/>
      </c>
      <c r="H17" s="64" t="str">
        <f>IF(CONTROLLO!$B$13="SI", "",_xlfn.LET(_xlpm.v, _xlfn.XLOOKUP('Calcolo Master'!$G2, Valutazioni!$A$2:$A$20, Valutazioni!$D$2:$D$20, ""),IF(AND('Calcolo Master'!$D2&lt;&gt;"", _xlpm.v&lt;&gt;"", 'Calcolo Master'!$D2=_xlpm.v), "X", "")))</f>
        <v/>
      </c>
      <c r="I17" s="64" t="str">
        <f>IF(CONTROLLO!$B$13="SI", "",_xlfn.LET(_xlpm.v, _xlfn.XLOOKUP('Calcolo Master'!$G2, Valutazioni!$A$2:$A$20, Valutazioni!$E$2:$E$20, ""),IF(AND('Calcolo Master'!$D2&lt;&gt;"", _xlpm.v&lt;&gt;"", 'Calcolo Master'!$D2=_xlpm.v), "X", "")))</f>
        <v/>
      </c>
      <c r="J17" s="66" t="str">
        <f>IF(CONTROLLO!$B$13="SI", "",_xlfn.LET(_xlpm.v, _xlfn.XLOOKUP('Calcolo Master'!$G2, Valutazioni!$A$2:$A$20, Valutazioni!$F$2:$F$20, ""),IF(AND('Calcolo Master'!$D2&lt;&gt;"", _xlpm.v&lt;&gt;"", 'Calcolo Master'!$D2=_xlpm.v), "X", "")))</f>
        <v/>
      </c>
    </row>
    <row r="18" spans="1:10" ht="15">
      <c r="A18" s="80" t="str">
        <f>'Calcolo Master'!F3</f>
        <v>si guarda attorno (prima di entrare in scena)</v>
      </c>
      <c r="B18" s="81"/>
      <c r="C18" s="81"/>
      <c r="D18" s="81"/>
      <c r="E18" s="81"/>
      <c r="F18" s="64" t="str">
        <f>IF(CONTROLLO!$B$13="SI", "",_xlfn.LET(_xlpm.v, _xlfn.XLOOKUP('Calcolo Master'!$G3, Valutazioni!$A$2:$A$20, Valutazioni!$B$2:$B$20, ""),IF(AND('Calcolo Master'!$D3&lt;&gt;"", _xlpm.v&lt;&gt;"", 'Calcolo Master'!$D3=_xlpm.v), "X", "")))</f>
        <v/>
      </c>
      <c r="G18" s="64" t="str">
        <f>IF(CONTROLLO!$B$13="SI", "",_xlfn.LET(_xlpm.v, _xlfn.XLOOKUP('Calcolo Master'!$G3, Valutazioni!$A$2:$A$20, Valutazioni!$C$2:$C$20, ""),IF(AND('Calcolo Master'!$D3&lt;&gt;"", _xlpm.v&lt;&gt;"", 'Calcolo Master'!$D3=_xlpm.v), "X", "")))</f>
        <v/>
      </c>
      <c r="H18" s="64" t="str">
        <f>IF(CONTROLLO!$B$13="SI", "",_xlfn.LET(_xlpm.v, _xlfn.XLOOKUP('Calcolo Master'!$G3, Valutazioni!$A$2:$A$20, Valutazioni!$D$2:$D$20, ""),IF(AND('Calcolo Master'!$D3&lt;&gt;"", _xlpm.v&lt;&gt;"", 'Calcolo Master'!$D3=_xlpm.v), "X", "")))</f>
        <v/>
      </c>
      <c r="I18" s="64" t="str">
        <f>IF(CONTROLLO!$B$13="SI", "",_xlfn.LET(_xlpm.v, _xlfn.XLOOKUP('Calcolo Master'!$G3, Valutazioni!$A$2:$A$20, Valutazioni!$E$2:$E$20, ""),IF(AND('Calcolo Master'!$D3&lt;&gt;"", _xlpm.v&lt;&gt;"", 'Calcolo Master'!$D3=_xlpm.v), "X", "")))</f>
        <v/>
      </c>
      <c r="J18" s="66" t="str">
        <f>IF(CONTROLLO!$B$13="SI", "",_xlfn.LET(_xlpm.v, _xlfn.XLOOKUP('Calcolo Master'!$G3, Valutazioni!$A$2:$A$20, Valutazioni!$F$2:$F$20, ""),IF(AND('Calcolo Master'!$D3&lt;&gt;"", _xlpm.v&lt;&gt;"", 'Calcolo Master'!$D3=_xlpm.v), "X", "")))</f>
        <v/>
      </c>
    </row>
    <row r="19" spans="1:10">
      <c r="A19" s="80" t="str">
        <f>'Calcolo Master'!F4</f>
        <v>indossa i d.p.i. in scena</v>
      </c>
      <c r="B19" s="81"/>
      <c r="C19" s="81"/>
      <c r="D19" s="81"/>
      <c r="E19" s="81"/>
      <c r="F19" s="64" t="str">
        <f>IF(CONTROLLO!$B$13="SI", "",_xlfn.LET(_xlpm.v, _xlfn.XLOOKUP('Calcolo Master'!$G4, Valutazioni!$A$2:$A$20, Valutazioni!$B$2:$B$20, ""),IF(AND('Calcolo Master'!$D4&lt;&gt;"", _xlpm.v&lt;&gt;"", 'Calcolo Master'!$D4=_xlpm.v), "X", "")))</f>
        <v/>
      </c>
      <c r="G19" s="64" t="str">
        <f>IF(CONTROLLO!$B$13="SI", "",_xlfn.LET(_xlpm.v, _xlfn.XLOOKUP('Calcolo Master'!$G4, Valutazioni!$A$2:$A$20, Valutazioni!$C$2:$C$20, ""),IF(AND('Calcolo Master'!$D4&lt;&gt;"", _xlpm.v&lt;&gt;"", 'Calcolo Master'!$D4=_xlpm.v), "X", "")))</f>
        <v/>
      </c>
      <c r="H19" s="64" t="str">
        <f>IF(CONTROLLO!$B$13="SI", "",_xlfn.LET(_xlpm.v, _xlfn.XLOOKUP('Calcolo Master'!$G4, Valutazioni!$A$2:$A$20, Valutazioni!$D$2:$D$20, ""),IF(AND('Calcolo Master'!$D4&lt;&gt;"", _xlpm.v&lt;&gt;"", 'Calcolo Master'!$D4=_xlpm.v), "X", "")))</f>
        <v/>
      </c>
      <c r="I19" s="64" t="str">
        <f>IF(CONTROLLO!$B$13="SI", "",_xlfn.LET(_xlpm.v, _xlfn.XLOOKUP('Calcolo Master'!$G4, Valutazioni!$A$2:$A$20, Valutazioni!$E$2:$E$20, ""),IF(AND('Calcolo Master'!$D4&lt;&gt;"", _xlpm.v&lt;&gt;"", 'Calcolo Master'!$D4=_xlpm.v), "X", "")))</f>
        <v/>
      </c>
      <c r="J19" s="66" t="str">
        <f>IF(CONTROLLO!$B$13="SI", "",_xlfn.LET(_xlpm.v, _xlfn.XLOOKUP('Calcolo Master'!$G4, Valutazioni!$A$2:$A$20, Valutazioni!$F$2:$F$20, ""),IF(AND('Calcolo Master'!$D4&lt;&gt;"", _xlpm.v&lt;&gt;"", 'Calcolo Master'!$D4=_xlpm.v), "X", "")))</f>
        <v/>
      </c>
    </row>
    <row r="20" spans="1:10">
      <c r="A20" s="80" t="str">
        <f>'Calcolo Master'!F5</f>
        <v xml:space="preserve">percorre tutta la scena e la rende sicura </v>
      </c>
      <c r="B20" s="81"/>
      <c r="C20" s="81"/>
      <c r="D20" s="81"/>
      <c r="E20" s="81"/>
      <c r="F20" s="64" t="str">
        <f>IF(CONTROLLO!$B$13="SI", "",_xlfn.LET(_xlpm.v, _xlfn.XLOOKUP('Calcolo Master'!$G5, Valutazioni!$A$2:$A$20, Valutazioni!$B$2:$B$20, ""),IF(AND('Calcolo Master'!$D5&lt;&gt;"", _xlpm.v&lt;&gt;"", 'Calcolo Master'!$D5=_xlpm.v), "X", "")))</f>
        <v/>
      </c>
      <c r="G20" s="64" t="str">
        <f>IF(CONTROLLO!$B$13="SI", "",_xlfn.LET(_xlpm.v, _xlfn.XLOOKUP('Calcolo Master'!$G5, Valutazioni!$A$2:$A$20, Valutazioni!$C$2:$C$20, ""),IF(AND('Calcolo Master'!$D5&lt;&gt;"", _xlpm.v&lt;&gt;"", 'Calcolo Master'!$D5=_xlpm.v), "X", "")))</f>
        <v/>
      </c>
      <c r="H20" s="64" t="str">
        <f>IF(CONTROLLO!$B$13="SI", "",_xlfn.LET(_xlpm.v, _xlfn.XLOOKUP('Calcolo Master'!$G5, Valutazioni!$A$2:$A$20, Valutazioni!$D$2:$D$20, ""),IF(AND('Calcolo Master'!$D5&lt;&gt;"", _xlpm.v&lt;&gt;"", 'Calcolo Master'!$D5=_xlpm.v), "X", "")))</f>
        <v/>
      </c>
      <c r="I20" s="64" t="str">
        <f>IF(CONTROLLO!$B$13="SI", "",_xlfn.LET(_xlpm.v, _xlfn.XLOOKUP('Calcolo Master'!$G5, Valutazioni!$A$2:$A$20, Valutazioni!$E$2:$E$20, ""),IF(AND('Calcolo Master'!$D5&lt;&gt;"", _xlpm.v&lt;&gt;"", 'Calcolo Master'!$D5=_xlpm.v), "X", "")))</f>
        <v/>
      </c>
      <c r="J20" s="66" t="str">
        <f>IF(CONTROLLO!$B$13="SI", "",_xlfn.LET(_xlpm.v, _xlfn.XLOOKUP('Calcolo Master'!$G5, Valutazioni!$A$2:$A$20, Valutazioni!$F$2:$F$20, ""),IF(AND('Calcolo Master'!$D5&lt;&gt;"", _xlpm.v&lt;&gt;"", 'Calcolo Master'!$D5=_xlpm.v), "X", "")))</f>
        <v/>
      </c>
    </row>
    <row r="21" spans="1:10">
      <c r="A21" s="65" t="str">
        <f>'Calcolo Master'!F6</f>
        <v>COMPORTAMENTO CON I PRESENTI</v>
      </c>
      <c r="B21" s="16"/>
      <c r="C21" s="16"/>
      <c r="D21" s="16"/>
      <c r="E21" s="16"/>
      <c r="F21" s="64" t="str">
        <f>IF(CONTROLLO!$B$13="SI", "",_xlfn.LET(_xlpm.v, _xlfn.XLOOKUP('Calcolo Master'!$G6, Valutazioni!$A$2:$A$20, Valutazioni!$B$2:$B$20, ""),IF(AND('Calcolo Master'!$D6&lt;&gt;"", _xlpm.v&lt;&gt;"", 'Calcolo Master'!$D6=_xlpm.v), "X", "")))</f>
        <v/>
      </c>
      <c r="G21" s="64" t="str">
        <f>IF(CONTROLLO!$B$13="SI", "",_xlfn.LET(_xlpm.v, _xlfn.XLOOKUP('Calcolo Master'!$G6, Valutazioni!$A$2:$A$20, Valutazioni!$C$2:$C$20, ""),IF(AND('Calcolo Master'!$D6&lt;&gt;"", _xlpm.v&lt;&gt;"", 'Calcolo Master'!$D6=_xlpm.v), "X", "")))</f>
        <v/>
      </c>
      <c r="H21" s="64" t="str">
        <f>IF(CONTROLLO!$B$13="SI", "",_xlfn.LET(_xlpm.v, _xlfn.XLOOKUP('Calcolo Master'!$G6, Valutazioni!$A$2:$A$20, Valutazioni!$D$2:$D$20, ""),IF(AND('Calcolo Master'!$D6&lt;&gt;"", _xlpm.v&lt;&gt;"", 'Calcolo Master'!$D6=_xlpm.v), "X", "")))</f>
        <v/>
      </c>
      <c r="I21" s="64" t="str">
        <f>IF(CONTROLLO!$B$13="SI", "",_xlfn.LET(_xlpm.v, _xlfn.XLOOKUP('Calcolo Master'!$G6, Valutazioni!$A$2:$A$20, Valutazioni!$E$2:$E$20, ""),IF(AND('Calcolo Master'!$D6&lt;&gt;"", _xlpm.v&lt;&gt;"", 'Calcolo Master'!$D6=_xlpm.v), "X", "")))</f>
        <v/>
      </c>
      <c r="J21" s="66" t="str">
        <f>IF(CONTROLLO!$B$13="SI", "",_xlfn.LET(_xlpm.v, _xlfn.XLOOKUP('Calcolo Master'!$G6, Valutazioni!$A$2:$A$20, Valutazioni!$F$2:$F$20, ""),IF(AND('Calcolo Master'!$D6&lt;&gt;"", _xlpm.v&lt;&gt;"", 'Calcolo Master'!$D6=_xlpm.v), "X", "")))</f>
        <v/>
      </c>
    </row>
    <row r="22" spans="1:10">
      <c r="A22" s="80" t="str">
        <f>'Calcolo Master'!F7</f>
        <v>si presenta come soccorritore</v>
      </c>
      <c r="B22" s="81"/>
      <c r="C22" s="81"/>
      <c r="D22" s="81"/>
      <c r="E22" s="81"/>
      <c r="F22" s="64" t="str">
        <f>IF(CONTROLLO!$B$13="SI", "",_xlfn.LET(_xlpm.v, _xlfn.XLOOKUP('Calcolo Master'!$G7, Valutazioni!$A$2:$A$20, Valutazioni!$B$2:$B$20, ""),IF(AND('Calcolo Master'!$D7&lt;&gt;"", _xlpm.v&lt;&gt;"", 'Calcolo Master'!$D7=_xlpm.v), "X", "")))</f>
        <v/>
      </c>
      <c r="G22" s="64" t="str">
        <f>IF(CONTROLLO!$B$13="SI", "",_xlfn.LET(_xlpm.v, _xlfn.XLOOKUP('Calcolo Master'!$G7, Valutazioni!$A$2:$A$20, Valutazioni!$C$2:$C$20, ""),IF(AND('Calcolo Master'!$D7&lt;&gt;"", _xlpm.v&lt;&gt;"", 'Calcolo Master'!$D7=_xlpm.v), "X", "")))</f>
        <v/>
      </c>
      <c r="H22" s="64" t="str">
        <f>IF(CONTROLLO!$B$13="SI", "",_xlfn.LET(_xlpm.v, _xlfn.XLOOKUP('Calcolo Master'!$G7, Valutazioni!$A$2:$A$20, Valutazioni!$D$2:$D$20, ""),IF(AND('Calcolo Master'!$D7&lt;&gt;"", _xlpm.v&lt;&gt;"", 'Calcolo Master'!$D7=_xlpm.v), "X", "")))</f>
        <v/>
      </c>
      <c r="I22" s="64" t="str">
        <f>IF(CONTROLLO!$B$13="SI", "",_xlfn.LET(_xlpm.v, _xlfn.XLOOKUP('Calcolo Master'!$G7, Valutazioni!$A$2:$A$20, Valutazioni!$E$2:$E$20, ""),IF(AND('Calcolo Master'!$D7&lt;&gt;"", _xlpm.v&lt;&gt;"", 'Calcolo Master'!$D7=_xlpm.v), "X", "")))</f>
        <v/>
      </c>
      <c r="J22" s="66" t="str">
        <f>IF(CONTROLLO!$B$13="SI", "",_xlfn.LET(_xlpm.v, _xlfn.XLOOKUP('Calcolo Master'!$G7, Valutazioni!$A$2:$A$20, Valutazioni!$F$2:$F$20, ""),IF(AND('Calcolo Master'!$D7&lt;&gt;"", _xlpm.v&lt;&gt;"", 'Calcolo Master'!$D7=_xlpm.v), "X", "")))</f>
        <v/>
      </c>
    </row>
    <row r="23" spans="1:10">
      <c r="A23" s="80" t="str">
        <f>'Calcolo Master'!F8</f>
        <v>indirizza con oculatezza i soccorritori</v>
      </c>
      <c r="B23" s="81"/>
      <c r="C23" s="81"/>
      <c r="D23" s="81"/>
      <c r="E23" s="81"/>
      <c r="F23" s="64" t="str">
        <f>IF(CONTROLLO!$B$13="SI", "",_xlfn.LET(_xlpm.v, _xlfn.XLOOKUP('Calcolo Master'!$G8, Valutazioni!$A$2:$A$20, Valutazioni!$B$2:$B$20, ""),IF(AND('Calcolo Master'!$D8&lt;&gt;"", _xlpm.v&lt;&gt;"", 'Calcolo Master'!$D8=_xlpm.v), "X", "")))</f>
        <v/>
      </c>
      <c r="G23" s="64" t="str">
        <f>IF(CONTROLLO!$B$13="SI", "",_xlfn.LET(_xlpm.v, _xlfn.XLOOKUP('Calcolo Master'!$G8, Valutazioni!$A$2:$A$20, Valutazioni!$C$2:$C$20, ""),IF(AND('Calcolo Master'!$D8&lt;&gt;"", _xlpm.v&lt;&gt;"", 'Calcolo Master'!$D8=_xlpm.v), "X", "")))</f>
        <v/>
      </c>
      <c r="H23" s="64" t="str">
        <f>IF(CONTROLLO!$B$13="SI", "",_xlfn.LET(_xlpm.v, _xlfn.XLOOKUP('Calcolo Master'!$G8, Valutazioni!$A$2:$A$20, Valutazioni!$D$2:$D$20, ""),IF(AND('Calcolo Master'!$D8&lt;&gt;"", _xlpm.v&lt;&gt;"", 'Calcolo Master'!$D8=_xlpm.v), "X", "")))</f>
        <v/>
      </c>
      <c r="I23" s="64" t="str">
        <f>IF(CONTROLLO!$B$13="SI", "",_xlfn.LET(_xlpm.v, _xlfn.XLOOKUP('Calcolo Master'!$G8, Valutazioni!$A$2:$A$20, Valutazioni!$E$2:$E$20, ""),IF(AND('Calcolo Master'!$D8&lt;&gt;"", _xlpm.v&lt;&gt;"", 'Calcolo Master'!$D8=_xlpm.v), "X", "")))</f>
        <v/>
      </c>
      <c r="J23" s="66" t="str">
        <f>IF(CONTROLLO!$B$13="SI", "",_xlfn.LET(_xlpm.v, _xlfn.XLOOKUP('Calcolo Master'!$G8, Valutazioni!$A$2:$A$20, Valutazioni!$F$2:$F$20, ""),IF(AND('Calcolo Master'!$D8&lt;&gt;"", _xlpm.v&lt;&gt;"", 'Calcolo Master'!$D8=_xlpm.v), "X", "")))</f>
        <v/>
      </c>
    </row>
    <row r="24" spans="1:10">
      <c r="A24" s="80" t="str">
        <f>'Calcolo Master'!F9</f>
        <v>atteggiamento cortese e determinato</v>
      </c>
      <c r="B24" s="81"/>
      <c r="C24" s="81"/>
      <c r="D24" s="81"/>
      <c r="E24" s="81"/>
      <c r="F24" s="64" t="str">
        <f>IF(CONTROLLO!$B$13="SI", "",_xlfn.LET(_xlpm.v, _xlfn.XLOOKUP('Calcolo Master'!$G9, Valutazioni!$A$2:$A$20, Valutazioni!$B$2:$B$20, ""),IF(AND('Calcolo Master'!$D9&lt;&gt;"", _xlpm.v&lt;&gt;"", 'Calcolo Master'!$D9=_xlpm.v), "X", "")))</f>
        <v/>
      </c>
      <c r="G24" s="64" t="str">
        <f>IF(CONTROLLO!$B$13="SI", "",_xlfn.LET(_xlpm.v, _xlfn.XLOOKUP('Calcolo Master'!$G9, Valutazioni!$A$2:$A$20, Valutazioni!$C$2:$C$20, ""),IF(AND('Calcolo Master'!$D9&lt;&gt;"", _xlpm.v&lt;&gt;"", 'Calcolo Master'!$D9=_xlpm.v), "X", "")))</f>
        <v/>
      </c>
      <c r="H24" s="64" t="str">
        <f>IF(CONTROLLO!$B$13="SI", "",_xlfn.LET(_xlpm.v, _xlfn.XLOOKUP('Calcolo Master'!$G9, Valutazioni!$A$2:$A$20, Valutazioni!$D$2:$D$20, ""),IF(AND('Calcolo Master'!$D9&lt;&gt;"", _xlpm.v&lt;&gt;"", 'Calcolo Master'!$D9=_xlpm.v), "X", "")))</f>
        <v/>
      </c>
      <c r="I24" s="64" t="str">
        <f>IF(CONTROLLO!$B$13="SI", "",_xlfn.LET(_xlpm.v, _xlfn.XLOOKUP('Calcolo Master'!$G9, Valutazioni!$A$2:$A$20, Valutazioni!$E$2:$E$20, ""),IF(AND('Calcolo Master'!$D9&lt;&gt;"", _xlpm.v&lt;&gt;"", 'Calcolo Master'!$D9=_xlpm.v), "X", "")))</f>
        <v/>
      </c>
      <c r="J24" s="66" t="str">
        <f>IF(CONTROLLO!$B$13="SI", "",_xlfn.LET(_xlpm.v, _xlfn.XLOOKUP('Calcolo Master'!$G9, Valutazioni!$A$2:$A$20, Valutazioni!$F$2:$F$20, ""),IF(AND('Calcolo Master'!$D9&lt;&gt;"", _xlpm.v&lt;&gt;"", 'Calcolo Master'!$D9=_xlpm.v), "X", "")))</f>
        <v/>
      </c>
    </row>
    <row r="25" spans="1:10">
      <c r="A25" s="65" t="str">
        <f>'Calcolo Master'!F10</f>
        <v>CHIAMATA DI SOCCORSO</v>
      </c>
      <c r="B25" s="16"/>
      <c r="C25" s="16"/>
      <c r="D25" s="16"/>
      <c r="E25" s="16"/>
      <c r="F25" s="64" t="str">
        <f>IF(CONTROLLO!$B$13="SI", "",_xlfn.LET(_xlpm.v, _xlfn.XLOOKUP('Calcolo Master'!$G10, Valutazioni!$A$2:$A$20, Valutazioni!$B$2:$B$20, ""),IF(AND('Calcolo Master'!$D10&lt;&gt;"", _xlpm.v&lt;&gt;"", 'Calcolo Master'!$D10=_xlpm.v), "X", "")))</f>
        <v/>
      </c>
      <c r="G25" s="64" t="str">
        <f>IF(CONTROLLO!$B$13="SI", "",_xlfn.LET(_xlpm.v, _xlfn.XLOOKUP('Calcolo Master'!$G10, Valutazioni!$A$2:$A$20, Valutazioni!$C$2:$C$20, ""),IF(AND('Calcolo Master'!$D10&lt;&gt;"", _xlpm.v&lt;&gt;"", 'Calcolo Master'!$D10=_xlpm.v), "X", "")))</f>
        <v/>
      </c>
      <c r="H25" s="64" t="str">
        <f>IF(CONTROLLO!$B$13="SI", "",_xlfn.LET(_xlpm.v, _xlfn.XLOOKUP('Calcolo Master'!$G10, Valutazioni!$A$2:$A$20, Valutazioni!$D$2:$D$20, ""),IF(AND('Calcolo Master'!$D10&lt;&gt;"", _xlpm.v&lt;&gt;"", 'Calcolo Master'!$D10=_xlpm.v), "X", "")))</f>
        <v/>
      </c>
      <c r="I25" s="64" t="str">
        <f>IF(CONTROLLO!$B$13="SI", "",_xlfn.LET(_xlpm.v, _xlfn.XLOOKUP('Calcolo Master'!$G10, Valutazioni!$A$2:$A$20, Valutazioni!$E$2:$E$20, ""),IF(AND('Calcolo Master'!$D10&lt;&gt;"", _xlpm.v&lt;&gt;"", 'Calcolo Master'!$D10=_xlpm.v), "X", "")))</f>
        <v/>
      </c>
      <c r="J25" s="66" t="str">
        <f>IF(CONTROLLO!$B$13="SI", "",_xlfn.LET(_xlpm.v, _xlfn.XLOOKUP('Calcolo Master'!$G10, Valutazioni!$A$2:$A$20, Valutazioni!$F$2:$F$20, ""),IF(AND('Calcolo Master'!$D10&lt;&gt;"", _xlpm.v&lt;&gt;"", 'Calcolo Master'!$D10=_xlpm.v), "X", "")))</f>
        <v/>
      </c>
    </row>
    <row r="26" spans="1:10">
      <c r="A26" s="80" t="str">
        <f>'Calcolo Master'!F11</f>
        <v>fa la prima chiamata entro 2 minuti</v>
      </c>
      <c r="B26" s="81"/>
      <c r="C26" s="81"/>
      <c r="D26" s="81"/>
      <c r="E26" s="81"/>
      <c r="F26" s="64" t="str">
        <f>IF(CONTROLLO!$B$13="SI", "",_xlfn.LET(_xlpm.v, _xlfn.XLOOKUP('Calcolo Master'!$G11, Valutazioni!$A$2:$A$20, Valutazioni!$B$2:$B$20, ""),IF(AND('Calcolo Master'!$D11&lt;&gt;"", _xlpm.v&lt;&gt;"", 'Calcolo Master'!$D11=_xlpm.v), "X", "")))</f>
        <v/>
      </c>
      <c r="G26" s="64" t="str">
        <f>IF(CONTROLLO!$B$13="SI", "",_xlfn.LET(_xlpm.v, _xlfn.XLOOKUP('Calcolo Master'!$G11, Valutazioni!$A$2:$A$20, Valutazioni!$C$2:$C$20, ""),IF(AND('Calcolo Master'!$D11&lt;&gt;"", _xlpm.v&lt;&gt;"", 'Calcolo Master'!$D11=_xlpm.v), "X", "")))</f>
        <v/>
      </c>
      <c r="H26" s="64" t="str">
        <f>IF(CONTROLLO!$B$13="SI", "",_xlfn.LET(_xlpm.v, _xlfn.XLOOKUP('Calcolo Master'!$G11, Valutazioni!$A$2:$A$20, Valutazioni!$D$2:$D$20, ""),IF(AND('Calcolo Master'!$D11&lt;&gt;"", _xlpm.v&lt;&gt;"", 'Calcolo Master'!$D11=_xlpm.v), "X", "")))</f>
        <v/>
      </c>
      <c r="I26" s="64" t="str">
        <f>IF(CONTROLLO!$B$13="SI", "",_xlfn.LET(_xlpm.v, _xlfn.XLOOKUP('Calcolo Master'!$G11, Valutazioni!$A$2:$A$20, Valutazioni!$E$2:$E$20, ""),IF(AND('Calcolo Master'!$D11&lt;&gt;"", _xlpm.v&lt;&gt;"", 'Calcolo Master'!$D11=_xlpm.v), "X", "")))</f>
        <v/>
      </c>
      <c r="J26" s="66" t="str">
        <f>IF(CONTROLLO!$B$13="SI", "",_xlfn.LET(_xlpm.v, _xlfn.XLOOKUP('Calcolo Master'!$G11, Valutazioni!$A$2:$A$20, Valutazioni!$F$2:$F$20, ""),IF(AND('Calcolo Master'!$D11&lt;&gt;"", _xlpm.v&lt;&gt;"", 'Calcolo Master'!$D11=_xlpm.v), "X", "")))</f>
        <v/>
      </c>
    </row>
    <row r="27" spans="1:10">
      <c r="A27" s="80" t="str">
        <f>'Calcolo Master'!F12</f>
        <v>si identifica /presenta</v>
      </c>
      <c r="B27" s="81"/>
      <c r="C27" s="81"/>
      <c r="D27" s="81"/>
      <c r="E27" s="81"/>
      <c r="F27" s="64" t="str">
        <f>IF(CONTROLLO!$B$13="SI", "",_xlfn.LET(_xlpm.v, _xlfn.XLOOKUP('Calcolo Master'!$G12, Valutazioni!$A$2:$A$20, Valutazioni!$B$2:$B$20, ""),IF(AND('Calcolo Master'!$D12&lt;&gt;"", _xlpm.v&lt;&gt;"", 'Calcolo Master'!$D12=_xlpm.v), "X", "")))</f>
        <v/>
      </c>
      <c r="G27" s="64" t="str">
        <f>IF(CONTROLLO!$B$13="SI", "",_xlfn.LET(_xlpm.v, _xlfn.XLOOKUP('Calcolo Master'!$G12, Valutazioni!$A$2:$A$20, Valutazioni!$C$2:$C$20, ""),IF(AND('Calcolo Master'!$D12&lt;&gt;"", _xlpm.v&lt;&gt;"", 'Calcolo Master'!$D12=_xlpm.v), "X", "")))</f>
        <v/>
      </c>
      <c r="H27" s="64" t="str">
        <f>IF(CONTROLLO!$B$13="SI", "",_xlfn.LET(_xlpm.v, _xlfn.XLOOKUP('Calcolo Master'!$G12, Valutazioni!$A$2:$A$20, Valutazioni!$D$2:$D$20, ""),IF(AND('Calcolo Master'!$D12&lt;&gt;"", _xlpm.v&lt;&gt;"", 'Calcolo Master'!$D12=_xlpm.v), "X", "")))</f>
        <v/>
      </c>
      <c r="I27" s="64" t="str">
        <f>IF(CONTROLLO!$B$13="SI", "",_xlfn.LET(_xlpm.v, _xlfn.XLOOKUP('Calcolo Master'!$G12, Valutazioni!$A$2:$A$20, Valutazioni!$E$2:$E$20, ""),IF(AND('Calcolo Master'!$D12&lt;&gt;"", _xlpm.v&lt;&gt;"", 'Calcolo Master'!$D12=_xlpm.v), "X", "")))</f>
        <v/>
      </c>
      <c r="J27" s="66" t="str">
        <f>IF(CONTROLLO!$B$13="SI", "",_xlfn.LET(_xlpm.v, _xlfn.XLOOKUP('Calcolo Master'!$G12, Valutazioni!$A$2:$A$20, Valutazioni!$F$2:$F$20, ""),IF(AND('Calcolo Master'!$D12&lt;&gt;"", _xlpm.v&lt;&gt;"", 'Calcolo Master'!$D12=_xlpm.v), "X", "")))</f>
        <v/>
      </c>
    </row>
    <row r="28" spans="1:10">
      <c r="A28" s="80" t="str">
        <f>'Calcolo Master'!F13</f>
        <v>spiega da dove chiama e indica come raggiungere il luogo</v>
      </c>
      <c r="B28" s="81"/>
      <c r="C28" s="81"/>
      <c r="D28" s="81"/>
      <c r="E28" s="81"/>
      <c r="F28" s="64" t="str">
        <f>IF(CONTROLLO!$B$13="SI", "",_xlfn.LET(_xlpm.v, _xlfn.XLOOKUP('Calcolo Master'!$G13, Valutazioni!$A$2:$A$20, Valutazioni!$B$2:$B$20, ""),IF(AND('Calcolo Master'!$D13&lt;&gt;"", _xlpm.v&lt;&gt;"", 'Calcolo Master'!$D13=_xlpm.v), "X", "")))</f>
        <v/>
      </c>
      <c r="G28" s="64" t="str">
        <f>IF(CONTROLLO!$B$13="SI", "",_xlfn.LET(_xlpm.v, _xlfn.XLOOKUP('Calcolo Master'!$G13, Valutazioni!$A$2:$A$20, Valutazioni!$C$2:$C$20, ""),IF(AND('Calcolo Master'!$D13&lt;&gt;"", _xlpm.v&lt;&gt;"", 'Calcolo Master'!$D13=_xlpm.v), "X", "")))</f>
        <v/>
      </c>
      <c r="H28" s="64" t="str">
        <f>IF(CONTROLLO!$B$13="SI", "",_xlfn.LET(_xlpm.v, _xlfn.XLOOKUP('Calcolo Master'!$G13, Valutazioni!$A$2:$A$20, Valutazioni!$D$2:$D$20, ""),IF(AND('Calcolo Master'!$D13&lt;&gt;"", _xlpm.v&lt;&gt;"", 'Calcolo Master'!$D13=_xlpm.v), "X", "")))</f>
        <v/>
      </c>
      <c r="I28" s="64" t="str">
        <f>IF(CONTROLLO!$B$13="SI", "",_xlfn.LET(_xlpm.v, _xlfn.XLOOKUP('Calcolo Master'!$G13, Valutazioni!$A$2:$A$20, Valutazioni!$E$2:$E$20, ""),IF(AND('Calcolo Master'!$D13&lt;&gt;"", _xlpm.v&lt;&gt;"", 'Calcolo Master'!$D13=_xlpm.v), "X", "")))</f>
        <v/>
      </c>
      <c r="J28" s="66" t="str">
        <f>IF(CONTROLLO!$B$13="SI", "",_xlfn.LET(_xlpm.v, _xlfn.XLOOKUP('Calcolo Master'!$G13, Valutazioni!$A$2:$A$20, Valutazioni!$F$2:$F$20, ""),IF(AND('Calcolo Master'!$D13&lt;&gt;"", _xlpm.v&lt;&gt;"", 'Calcolo Master'!$D13=_xlpm.v), "X", "")))</f>
        <v/>
      </c>
    </row>
    <row r="29" spans="1:10">
      <c r="A29" s="80" t="str">
        <f>'Calcolo Master'!F14</f>
        <v>descrive  l’evento</v>
      </c>
      <c r="B29" s="81"/>
      <c r="C29" s="81"/>
      <c r="D29" s="81"/>
      <c r="E29" s="81"/>
      <c r="F29" s="64" t="str">
        <f>IF(CONTROLLO!$B$13="SI", "",_xlfn.LET(_xlpm.v, _xlfn.XLOOKUP('Calcolo Master'!$G14, Valutazioni!$A$2:$A$20, Valutazioni!$B$2:$B$20, ""),IF(AND('Calcolo Master'!$D14&lt;&gt;"", _xlpm.v&lt;&gt;"", 'Calcolo Master'!$D14=_xlpm.v), "X", "")))</f>
        <v/>
      </c>
      <c r="G29" s="64" t="str">
        <f>IF(CONTROLLO!$B$13="SI", "",_xlfn.LET(_xlpm.v, _xlfn.XLOOKUP('Calcolo Master'!$G14, Valutazioni!$A$2:$A$20, Valutazioni!$C$2:$C$20, ""),IF(AND('Calcolo Master'!$D14&lt;&gt;"", _xlpm.v&lt;&gt;"", 'Calcolo Master'!$D14=_xlpm.v), "X", "")))</f>
        <v/>
      </c>
      <c r="H29" s="64" t="str">
        <f>IF(CONTROLLO!$B$13="SI", "",_xlfn.LET(_xlpm.v, _xlfn.XLOOKUP('Calcolo Master'!$G14, Valutazioni!$A$2:$A$20, Valutazioni!$D$2:$D$20, ""),IF(AND('Calcolo Master'!$D14&lt;&gt;"", _xlpm.v&lt;&gt;"", 'Calcolo Master'!$D14=_xlpm.v), "X", "")))</f>
        <v/>
      </c>
      <c r="I29" s="64" t="str">
        <f>IF(CONTROLLO!$B$13="SI", "",_xlfn.LET(_xlpm.v, _xlfn.XLOOKUP('Calcolo Master'!$G14, Valutazioni!$A$2:$A$20, Valutazioni!$E$2:$E$20, ""),IF(AND('Calcolo Master'!$D14&lt;&gt;"", _xlpm.v&lt;&gt;"", 'Calcolo Master'!$D14=_xlpm.v), "X", "")))</f>
        <v/>
      </c>
      <c r="J29" s="66" t="str">
        <f>IF(CONTROLLO!$B$13="SI", "",_xlfn.LET(_xlpm.v, _xlfn.XLOOKUP('Calcolo Master'!$G14, Valutazioni!$A$2:$A$20, Valutazioni!$F$2:$F$20, ""),IF(AND('Calcolo Master'!$D14&lt;&gt;"", _xlpm.v&lt;&gt;"", 'Calcolo Master'!$D14=_xlpm.v), "X", "")))</f>
        <v/>
      </c>
    </row>
    <row r="30" spans="1:10">
      <c r="A30" s="80" t="str">
        <f>'Calcolo Master'!F15</f>
        <v>1 - Bambino PBLS -ACC Cardiopatcio</v>
      </c>
      <c r="B30" s="81"/>
      <c r="C30" s="81"/>
      <c r="D30" s="81"/>
      <c r="E30" s="81"/>
      <c r="F30" s="64" t="str">
        <f>IF(CONTROLLO!$B$13="SI", "",_xlfn.LET(_xlpm.v, _xlfn.XLOOKUP('Calcolo Master'!$G15, Valutazioni!$A$2:$A$20, Valutazioni!$B$2:$B$20, ""),IF(AND('Calcolo Master'!$D15&lt;&gt;"", _xlpm.v&lt;&gt;"", 'Calcolo Master'!$D15=_xlpm.v), "X", "")))</f>
        <v/>
      </c>
      <c r="G30" s="64" t="str">
        <f>IF(CONTROLLO!$B$13="SI", "",_xlfn.LET(_xlpm.v, _xlfn.XLOOKUP('Calcolo Master'!$G15, Valutazioni!$A$2:$A$20, Valutazioni!$C$2:$C$20, ""),IF(AND('Calcolo Master'!$D15&lt;&gt;"", _xlpm.v&lt;&gt;"", 'Calcolo Master'!$D15=_xlpm.v), "X", "")))</f>
        <v/>
      </c>
      <c r="H30" s="64" t="str">
        <f>IF(CONTROLLO!$B$13="SI", "",_xlfn.LET(_xlpm.v, _xlfn.XLOOKUP('Calcolo Master'!$G15, Valutazioni!$A$2:$A$20, Valutazioni!$D$2:$D$20, ""),IF(AND('Calcolo Master'!$D15&lt;&gt;"", _xlpm.v&lt;&gt;"", 'Calcolo Master'!$D15=_xlpm.v), "X", "")))</f>
        <v/>
      </c>
      <c r="I30" s="64" t="str">
        <f>IF(CONTROLLO!$B$13="SI", "",_xlfn.LET(_xlpm.v, _xlfn.XLOOKUP('Calcolo Master'!$G15, Valutazioni!$A$2:$A$20, Valutazioni!$E$2:$E$20, ""),IF(AND('Calcolo Master'!$D15&lt;&gt;"", _xlpm.v&lt;&gt;"", 'Calcolo Master'!$D15=_xlpm.v), "X", "")))</f>
        <v/>
      </c>
      <c r="J30" s="66" t="str">
        <f>IF(CONTROLLO!$B$13="SI", "",_xlfn.LET(_xlpm.v, _xlfn.XLOOKUP('Calcolo Master'!$G15, Valutazioni!$A$2:$A$20, Valutazioni!$F$2:$F$20, ""),IF(AND('Calcolo Master'!$D15&lt;&gt;"", _xlpm.v&lt;&gt;"", 'Calcolo Master'!$D15=_xlpm.v), "X", "")))</f>
        <v/>
      </c>
    </row>
    <row r="31" spans="1:10">
      <c r="A31" s="80" t="str">
        <f>'Calcolo Master'!F16</f>
        <v>2 – Ragazzo Tossicodipendete con siringa</v>
      </c>
      <c r="B31" s="81"/>
      <c r="C31" s="81"/>
      <c r="D31" s="81"/>
      <c r="E31" s="81"/>
      <c r="F31" s="64" t="str">
        <f>IF(CONTROLLO!$B$13="SI", "",_xlfn.LET(_xlpm.v, _xlfn.XLOOKUP('Calcolo Master'!$G16, Valutazioni!$A$2:$A$20, Valutazioni!$B$2:$B$20, ""),IF(AND('Calcolo Master'!$D16&lt;&gt;"", _xlpm.v&lt;&gt;"", 'Calcolo Master'!$D16=_xlpm.v), "X", "")))</f>
        <v/>
      </c>
      <c r="G31" s="64" t="str">
        <f>IF(CONTROLLO!$B$13="SI", "",_xlfn.LET(_xlpm.v, _xlfn.XLOOKUP('Calcolo Master'!$G16, Valutazioni!$A$2:$A$20, Valutazioni!$C$2:$C$20, ""),IF(AND('Calcolo Master'!$D16&lt;&gt;"", _xlpm.v&lt;&gt;"", 'Calcolo Master'!$D16=_xlpm.v), "X", "")))</f>
        <v/>
      </c>
      <c r="H31" s="64" t="str">
        <f>IF(CONTROLLO!$B$13="SI", "",_xlfn.LET(_xlpm.v, _xlfn.XLOOKUP('Calcolo Master'!$G16, Valutazioni!$A$2:$A$20, Valutazioni!$D$2:$D$20, ""),IF(AND('Calcolo Master'!$D16&lt;&gt;"", _xlpm.v&lt;&gt;"", 'Calcolo Master'!$D16=_xlpm.v), "X", "")))</f>
        <v/>
      </c>
      <c r="I31" s="64" t="str">
        <f>IF(CONTROLLO!$B$13="SI", "",_xlfn.LET(_xlpm.v, _xlfn.XLOOKUP('Calcolo Master'!$G16, Valutazioni!$A$2:$A$20, Valutazioni!$E$2:$E$20, ""),IF(AND('Calcolo Master'!$D16&lt;&gt;"", _xlpm.v&lt;&gt;"", 'Calcolo Master'!$D16=_xlpm.v), "X", "")))</f>
        <v/>
      </c>
      <c r="J31" s="66" t="str">
        <f>IF(CONTROLLO!$B$13="SI", "",_xlfn.LET(_xlpm.v, _xlfn.XLOOKUP('Calcolo Master'!$G16, Valutazioni!$A$2:$A$20, Valutazioni!$F$2:$F$20, ""),IF(AND('Calcolo Master'!$D16&lt;&gt;"", _xlpm.v&lt;&gt;"", 'Calcolo Master'!$D16=_xlpm.v), "X", "")))</f>
        <v/>
      </c>
    </row>
    <row r="32" spans="1:10">
      <c r="A32" s="80" t="str">
        <f>'Calcolo Master'!F17</f>
        <v>3 – Padre Trauma Cranico</v>
      </c>
      <c r="B32" s="81"/>
      <c r="C32" s="81"/>
      <c r="D32" s="81"/>
      <c r="E32" s="81"/>
      <c r="F32" s="64" t="str">
        <f>IF(CONTROLLO!$B$13="SI", "",_xlfn.LET(_xlpm.v, _xlfn.XLOOKUP('Calcolo Master'!$G17, Valutazioni!$A$2:$A$20, Valutazioni!$B$2:$B$20, ""),IF(AND('Calcolo Master'!$D17&lt;&gt;"", _xlpm.v&lt;&gt;"", 'Calcolo Master'!$D17=_xlpm.v), "X", "")))</f>
        <v/>
      </c>
      <c r="G32" s="64" t="str">
        <f>IF(CONTROLLO!$B$13="SI", "",_xlfn.LET(_xlpm.v, _xlfn.XLOOKUP('Calcolo Master'!$G17, Valutazioni!$A$2:$A$20, Valutazioni!$C$2:$C$20, ""),IF(AND('Calcolo Master'!$D17&lt;&gt;"", _xlpm.v&lt;&gt;"", 'Calcolo Master'!$D17=_xlpm.v), "X", "")))</f>
        <v/>
      </c>
      <c r="H32" s="64" t="str">
        <f>IF(CONTROLLO!$B$13="SI", "",_xlfn.LET(_xlpm.v, _xlfn.XLOOKUP('Calcolo Master'!$G17, Valutazioni!$A$2:$A$20, Valutazioni!$D$2:$D$20, ""),IF(AND('Calcolo Master'!$D17&lt;&gt;"", _xlpm.v&lt;&gt;"", 'Calcolo Master'!$D17=_xlpm.v), "X", "")))</f>
        <v/>
      </c>
      <c r="I32" s="64" t="str">
        <f>IF(CONTROLLO!$B$13="SI", "",_xlfn.LET(_xlpm.v, _xlfn.XLOOKUP('Calcolo Master'!$G17, Valutazioni!$A$2:$A$20, Valutazioni!$E$2:$E$20, ""),IF(AND('Calcolo Master'!$D17&lt;&gt;"", _xlpm.v&lt;&gt;"", 'Calcolo Master'!$D17=_xlpm.v), "X", "")))</f>
        <v/>
      </c>
      <c r="J32" s="66" t="str">
        <f>IF(CONTROLLO!$B$13="SI", "",_xlfn.LET(_xlpm.v, _xlfn.XLOOKUP('Calcolo Master'!$G17, Valutazioni!$A$2:$A$20, Valutazioni!$F$2:$F$20, ""),IF(AND('Calcolo Master'!$D17&lt;&gt;"", _xlpm.v&lt;&gt;"", 'Calcolo Master'!$D17=_xlpm.v), "X", "")))</f>
        <v/>
      </c>
    </row>
    <row r="33" spans="1:10">
      <c r="A33" s="80" t="str">
        <f>'Calcolo Master'!F18</f>
        <v>4 – Bidella attacco d'asma</v>
      </c>
      <c r="B33" s="81"/>
      <c r="C33" s="81"/>
      <c r="D33" s="81"/>
      <c r="E33" s="81"/>
      <c r="F33" s="64" t="str">
        <f>IF(CONTROLLO!$B$13="SI", "",_xlfn.LET(_xlpm.v, _xlfn.XLOOKUP('Calcolo Master'!$G18, Valutazioni!$A$2:$A$20, Valutazioni!$B$2:$B$20, ""),IF(AND('Calcolo Master'!$D18&lt;&gt;"", _xlpm.v&lt;&gt;"", 'Calcolo Master'!$D18=_xlpm.v), "X", "")))</f>
        <v/>
      </c>
      <c r="G33" s="64" t="str">
        <f>IF(CONTROLLO!$B$13="SI", "",_xlfn.LET(_xlpm.v, _xlfn.XLOOKUP('Calcolo Master'!$G18, Valutazioni!$A$2:$A$20, Valutazioni!$C$2:$C$20, ""),IF(AND('Calcolo Master'!$D18&lt;&gt;"", _xlpm.v&lt;&gt;"", 'Calcolo Master'!$D18=_xlpm.v), "X", "")))</f>
        <v/>
      </c>
      <c r="H33" s="64" t="str">
        <f>IF(CONTROLLO!$B$13="SI", "",_xlfn.LET(_xlpm.v, _xlfn.XLOOKUP('Calcolo Master'!$G18, Valutazioni!$A$2:$A$20, Valutazioni!$D$2:$D$20, ""),IF(AND('Calcolo Master'!$D18&lt;&gt;"", _xlpm.v&lt;&gt;"", 'Calcolo Master'!$D18=_xlpm.v), "X", "")))</f>
        <v/>
      </c>
      <c r="I33" s="64" t="str">
        <f>IF(CONTROLLO!$B$13="SI", "",_xlfn.LET(_xlpm.v, _xlfn.XLOOKUP('Calcolo Master'!$G18, Valutazioni!$A$2:$A$20, Valutazioni!$E$2:$E$20, ""),IF(AND('Calcolo Master'!$D18&lt;&gt;"", _xlpm.v&lt;&gt;"", 'Calcolo Master'!$D18=_xlpm.v), "X", "")))</f>
        <v/>
      </c>
      <c r="J33" s="66" t="str">
        <f>IF(CONTROLLO!$B$13="SI", "",_xlfn.LET(_xlpm.v, _xlfn.XLOOKUP('Calcolo Master'!$G18, Valutazioni!$A$2:$A$20, Valutazioni!$F$2:$F$20, ""),IF(AND('Calcolo Master'!$D18&lt;&gt;"", _xlpm.v&lt;&gt;"", 'Calcolo Master'!$D18=_xlpm.v), "X", "")))</f>
        <v/>
      </c>
    </row>
    <row r="34" spans="1:10">
      <c r="A34" s="80" t="str">
        <f>'Calcolo Master'!F19</f>
        <v>5 - Madre agitata (al telfono)</v>
      </c>
      <c r="B34" s="81"/>
      <c r="C34" s="81"/>
      <c r="D34" s="81"/>
      <c r="E34" s="81"/>
      <c r="F34" s="64" t="str">
        <f>IF(CONTROLLO!$B$13="SI", "",_xlfn.LET(_xlpm.v, _xlfn.XLOOKUP('Calcolo Master'!$G19, Valutazioni!$A$2:$A$20, Valutazioni!$B$2:$B$20, ""),IF(AND('Calcolo Master'!$D19&lt;&gt;"", _xlpm.v&lt;&gt;"", 'Calcolo Master'!$D19=_xlpm.v), "X", "")))</f>
        <v/>
      </c>
      <c r="G34" s="64" t="str">
        <f>IF(CONTROLLO!$B$13="SI", "",_xlfn.LET(_xlpm.v, _xlfn.XLOOKUP('Calcolo Master'!$G19, Valutazioni!$A$2:$A$20, Valutazioni!$C$2:$C$20, ""),IF(AND('Calcolo Master'!$D19&lt;&gt;"", _xlpm.v&lt;&gt;"", 'Calcolo Master'!$D19=_xlpm.v), "X", "")))</f>
        <v/>
      </c>
      <c r="H34" s="64" t="str">
        <f>IF(CONTROLLO!$B$13="SI", "",_xlfn.LET(_xlpm.v, _xlfn.XLOOKUP('Calcolo Master'!$G19, Valutazioni!$A$2:$A$20, Valutazioni!$D$2:$D$20, ""),IF(AND('Calcolo Master'!$D19&lt;&gt;"", _xlpm.v&lt;&gt;"", 'Calcolo Master'!$D19=_xlpm.v), "X", "")))</f>
        <v/>
      </c>
      <c r="I34" s="64" t="str">
        <f>IF(CONTROLLO!$B$13="SI", "",_xlfn.LET(_xlpm.v, _xlfn.XLOOKUP('Calcolo Master'!$G19, Valutazioni!$A$2:$A$20, Valutazioni!$E$2:$E$20, ""),IF(AND('Calcolo Master'!$D19&lt;&gt;"", _xlpm.v&lt;&gt;"", 'Calcolo Master'!$D19=_xlpm.v), "X", "")))</f>
        <v/>
      </c>
      <c r="J34" s="66" t="str">
        <f>IF(CONTROLLO!$B$13="SI", "",_xlfn.LET(_xlpm.v, _xlfn.XLOOKUP('Calcolo Master'!$G19, Valutazioni!$A$2:$A$20, Valutazioni!$F$2:$F$20, ""),IF(AND('Calcolo Master'!$D19&lt;&gt;"", _xlpm.v&lt;&gt;"", 'Calcolo Master'!$D19=_xlpm.v), "X", "")))</f>
        <v/>
      </c>
    </row>
    <row r="35" spans="1:10">
      <c r="A35" s="80" t="str">
        <f>'Calcolo Master'!F20</f>
        <v>chiede intervento di mezzi di soccorso e automedica</v>
      </c>
      <c r="B35" s="81"/>
      <c r="C35" s="81"/>
      <c r="D35" s="81"/>
      <c r="E35" s="81"/>
      <c r="F35" s="64" t="str">
        <f>IF(CONTROLLO!$B$13="SI", "",_xlfn.LET(_xlpm.v, _xlfn.XLOOKUP('Calcolo Master'!$G20, Valutazioni!$A$2:$A$20, Valutazioni!$B$2:$B$20, ""),IF(AND('Calcolo Master'!$D20&lt;&gt;"", _xlpm.v&lt;&gt;"", 'Calcolo Master'!$D20=_xlpm.v), "X", "")))</f>
        <v/>
      </c>
      <c r="G35" s="64" t="str">
        <f>IF(CONTROLLO!$B$13="SI", "",_xlfn.LET(_xlpm.v, _xlfn.XLOOKUP('Calcolo Master'!$G20, Valutazioni!$A$2:$A$20, Valutazioni!$C$2:$C$20, ""),IF(AND('Calcolo Master'!$D20&lt;&gt;"", _xlpm.v&lt;&gt;"", 'Calcolo Master'!$D20=_xlpm.v), "X", "")))</f>
        <v/>
      </c>
      <c r="H35" s="64" t="str">
        <f>IF(CONTROLLO!$B$13="SI", "",_xlfn.LET(_xlpm.v, _xlfn.XLOOKUP('Calcolo Master'!$G20, Valutazioni!$A$2:$A$20, Valutazioni!$D$2:$D$20, ""),IF(AND('Calcolo Master'!$D20&lt;&gt;"", _xlpm.v&lt;&gt;"", 'Calcolo Master'!$D20=_xlpm.v), "X", "")))</f>
        <v/>
      </c>
      <c r="I35" s="64" t="str">
        <f>IF(CONTROLLO!$B$13="SI", "",_xlfn.LET(_xlpm.v, _xlfn.XLOOKUP('Calcolo Master'!$G20, Valutazioni!$A$2:$A$20, Valutazioni!$E$2:$E$20, ""),IF(AND('Calcolo Master'!$D20&lt;&gt;"", _xlpm.v&lt;&gt;"", 'Calcolo Master'!$D20=_xlpm.v), "X", "")))</f>
        <v/>
      </c>
      <c r="J35" s="66" t="str">
        <f>IF(CONTROLLO!$B$13="SI", "",_xlfn.LET(_xlpm.v, _xlfn.XLOOKUP('Calcolo Master'!$G20, Valutazioni!$A$2:$A$20, Valutazioni!$F$2:$F$20, ""),IF(AND('Calcolo Master'!$D20&lt;&gt;"", _xlpm.v&lt;&gt;"", 'Calcolo Master'!$D20=_xlpm.v), "X", "")))</f>
        <v/>
      </c>
    </row>
    <row r="36" spans="1:10">
      <c r="A36" s="65" t="str">
        <f>'Calcolo Master'!F21</f>
        <v>ATTITUDINI DEL CAPO SQUADRA</v>
      </c>
      <c r="B36" s="16"/>
      <c r="C36" s="16"/>
      <c r="D36" s="16"/>
      <c r="E36" s="16"/>
      <c r="F36" s="64" t="str">
        <f>IF(CONTROLLO!$B$13="SI", "",_xlfn.LET(_xlpm.v, _xlfn.XLOOKUP('Calcolo Master'!$G21, Valutazioni!$A$2:$A$20, Valutazioni!$B$2:$B$20, ""),IF(AND('Calcolo Master'!$D21&lt;&gt;"", _xlpm.v&lt;&gt;"", 'Calcolo Master'!$D21=_xlpm.v), "X", "")))</f>
        <v/>
      </c>
      <c r="G36" s="64" t="str">
        <f>IF(CONTROLLO!$B$13="SI", "",_xlfn.LET(_xlpm.v, _xlfn.XLOOKUP('Calcolo Master'!$G21, Valutazioni!$A$2:$A$20, Valutazioni!$C$2:$C$20, ""),IF(AND('Calcolo Master'!$D21&lt;&gt;"", _xlpm.v&lt;&gt;"", 'Calcolo Master'!$D21=_xlpm.v), "X", "")))</f>
        <v/>
      </c>
      <c r="H36" s="64" t="str">
        <f>IF(CONTROLLO!$B$13="SI", "",_xlfn.LET(_xlpm.v, _xlfn.XLOOKUP('Calcolo Master'!$G21, Valutazioni!$A$2:$A$20, Valutazioni!$D$2:$D$20, ""),IF(AND('Calcolo Master'!$D21&lt;&gt;"", _xlpm.v&lt;&gt;"", 'Calcolo Master'!$D21=_xlpm.v), "X", "")))</f>
        <v/>
      </c>
      <c r="I36" s="64" t="str">
        <f>IF(CONTROLLO!$B$13="SI", "",_xlfn.LET(_xlpm.v, _xlfn.XLOOKUP('Calcolo Master'!$G21, Valutazioni!$A$2:$A$20, Valutazioni!$E$2:$E$20, ""),IF(AND('Calcolo Master'!$D21&lt;&gt;"", _xlpm.v&lt;&gt;"", 'Calcolo Master'!$D21=_xlpm.v), "X", "")))</f>
        <v/>
      </c>
      <c r="J36" s="66" t="str">
        <f>IF(CONTROLLO!$B$13="SI", "",_xlfn.LET(_xlpm.v, _xlfn.XLOOKUP('Calcolo Master'!$G21, Valutazioni!$A$2:$A$20, Valutazioni!$F$2:$F$20, ""),IF(AND('Calcolo Master'!$D21&lt;&gt;"", _xlpm.v&lt;&gt;"", 'Calcolo Master'!$D21=_xlpm.v), "X", "")))</f>
        <v/>
      </c>
    </row>
    <row r="37" spans="1:10">
      <c r="A37" s="80" t="str">
        <f>'Calcolo Master'!F22</f>
        <v>determina ruoli e competenze</v>
      </c>
      <c r="B37" s="81"/>
      <c r="C37" s="81"/>
      <c r="D37" s="81"/>
      <c r="E37" s="81"/>
      <c r="F37" s="64" t="str">
        <f>IF(CONTROLLO!$B$13="SI", "",_xlfn.LET(_xlpm.v, _xlfn.XLOOKUP('Calcolo Master'!$G22, Valutazioni!$A$2:$A$20, Valutazioni!$B$2:$B$20, ""),IF(AND('Calcolo Master'!$D22&lt;&gt;"", _xlpm.v&lt;&gt;"", 'Calcolo Master'!$D22=_xlpm.v), "X", "")))</f>
        <v/>
      </c>
      <c r="G37" s="64" t="str">
        <f>IF(CONTROLLO!$B$13="SI", "",_xlfn.LET(_xlpm.v, _xlfn.XLOOKUP('Calcolo Master'!$G22, Valutazioni!$A$2:$A$20, Valutazioni!$C$2:$C$20, ""),IF(AND('Calcolo Master'!$D22&lt;&gt;"", _xlpm.v&lt;&gt;"", 'Calcolo Master'!$D22=_xlpm.v), "X", "")))</f>
        <v/>
      </c>
      <c r="H37" s="64" t="str">
        <f>IF(CONTROLLO!$B$13="SI", "",_xlfn.LET(_xlpm.v, _xlfn.XLOOKUP('Calcolo Master'!$G22, Valutazioni!$A$2:$A$20, Valutazioni!$D$2:$D$20, ""),IF(AND('Calcolo Master'!$D22&lt;&gt;"", _xlpm.v&lt;&gt;"", 'Calcolo Master'!$D22=_xlpm.v), "X", "")))</f>
        <v/>
      </c>
      <c r="I37" s="64" t="str">
        <f>IF(CONTROLLO!$B$13="SI", "",_xlfn.LET(_xlpm.v, _xlfn.XLOOKUP('Calcolo Master'!$G22, Valutazioni!$A$2:$A$20, Valutazioni!$E$2:$E$20, ""),IF(AND('Calcolo Master'!$D22&lt;&gt;"", _xlpm.v&lt;&gt;"", 'Calcolo Master'!$D22=_xlpm.v), "X", "")))</f>
        <v/>
      </c>
      <c r="J37" s="66" t="str">
        <f>IF(CONTROLLO!$B$13="SI", "",_xlfn.LET(_xlpm.v, _xlfn.XLOOKUP('Calcolo Master'!$G22, Valutazioni!$A$2:$A$20, Valutazioni!$F$2:$F$20, ""),IF(AND('Calcolo Master'!$D22&lt;&gt;"", _xlpm.v&lt;&gt;"", 'Calcolo Master'!$D22=_xlpm.v), "X", "")))</f>
        <v/>
      </c>
    </row>
    <row r="38" spans="1:10">
      <c r="A38" s="80" t="str">
        <f>'Calcolo Master'!F23</f>
        <v>individua le priorità</v>
      </c>
      <c r="B38" s="81"/>
      <c r="C38" s="81"/>
      <c r="D38" s="81"/>
      <c r="E38" s="81"/>
      <c r="F38" s="64" t="str">
        <f>IF(CONTROLLO!$B$13="SI", "",_xlfn.LET(_xlpm.v, _xlfn.XLOOKUP('Calcolo Master'!$G23, Valutazioni!$A$2:$A$20, Valutazioni!$B$2:$B$20, ""),IF(AND('Calcolo Master'!$D23&lt;&gt;"", _xlpm.v&lt;&gt;"", 'Calcolo Master'!$D23=_xlpm.v), "X", "")))</f>
        <v/>
      </c>
      <c r="G38" s="64" t="str">
        <f>IF(CONTROLLO!$B$13="SI", "",_xlfn.LET(_xlpm.v, _xlfn.XLOOKUP('Calcolo Master'!$G23, Valutazioni!$A$2:$A$20, Valutazioni!$C$2:$C$20, ""),IF(AND('Calcolo Master'!$D23&lt;&gt;"", _xlpm.v&lt;&gt;"", 'Calcolo Master'!$D23=_xlpm.v), "X", "")))</f>
        <v/>
      </c>
      <c r="H38" s="64" t="str">
        <f>IF(CONTROLLO!$B$13="SI", "",_xlfn.LET(_xlpm.v, _xlfn.XLOOKUP('Calcolo Master'!$G23, Valutazioni!$A$2:$A$20, Valutazioni!$D$2:$D$20, ""),IF(AND('Calcolo Master'!$D23&lt;&gt;"", _xlpm.v&lt;&gt;"", 'Calcolo Master'!$D23=_xlpm.v), "X", "")))</f>
        <v/>
      </c>
      <c r="I38" s="64" t="str">
        <f>IF(CONTROLLO!$B$13="SI", "",_xlfn.LET(_xlpm.v, _xlfn.XLOOKUP('Calcolo Master'!$G23, Valutazioni!$A$2:$A$20, Valutazioni!$E$2:$E$20, ""),IF(AND('Calcolo Master'!$D23&lt;&gt;"", _xlpm.v&lt;&gt;"", 'Calcolo Master'!$D23=_xlpm.v), "X", "")))</f>
        <v/>
      </c>
      <c r="J38" s="66" t="str">
        <f>IF(CONTROLLO!$B$13="SI", "",_xlfn.LET(_xlpm.v, _xlfn.XLOOKUP('Calcolo Master'!$G23, Valutazioni!$A$2:$A$20, Valutazioni!$F$2:$F$20, ""),IF(AND('Calcolo Master'!$D23&lt;&gt;"", _xlpm.v&lt;&gt;"", 'Calcolo Master'!$D23=_xlpm.v), "X", "")))</f>
        <v/>
      </c>
    </row>
    <row r="39" spans="1:10">
      <c r="A39" s="80" t="str">
        <f>'Calcolo Master'!F24</f>
        <v>aiuta in modo mirato</v>
      </c>
      <c r="B39" s="81"/>
      <c r="C39" s="81"/>
      <c r="D39" s="81"/>
      <c r="E39" s="81"/>
      <c r="F39" s="64" t="str">
        <f>IF(CONTROLLO!$B$13="SI", "",_xlfn.LET(_xlpm.v, _xlfn.XLOOKUP('Calcolo Master'!$G24, Valutazioni!$A$2:$A$20, Valutazioni!$B$2:$B$20, ""),IF(AND('Calcolo Master'!$D24&lt;&gt;"", _xlpm.v&lt;&gt;"", 'Calcolo Master'!$D24=_xlpm.v), "X", "")))</f>
        <v/>
      </c>
      <c r="G39" s="64" t="str">
        <f>IF(CONTROLLO!$B$13="SI", "",_xlfn.LET(_xlpm.v, _xlfn.XLOOKUP('Calcolo Master'!$G24, Valutazioni!$A$2:$A$20, Valutazioni!$C$2:$C$20, ""),IF(AND('Calcolo Master'!$D24&lt;&gt;"", _xlpm.v&lt;&gt;"", 'Calcolo Master'!$D24=_xlpm.v), "X", "")))</f>
        <v/>
      </c>
      <c r="H39" s="64" t="str">
        <f>IF(CONTROLLO!$B$13="SI", "",_xlfn.LET(_xlpm.v, _xlfn.XLOOKUP('Calcolo Master'!$G24, Valutazioni!$A$2:$A$20, Valutazioni!$D$2:$D$20, ""),IF(AND('Calcolo Master'!$D24&lt;&gt;"", _xlpm.v&lt;&gt;"", 'Calcolo Master'!$D24=_xlpm.v), "X", "")))</f>
        <v/>
      </c>
      <c r="I39" s="64" t="str">
        <f>IF(CONTROLLO!$B$13="SI", "",_xlfn.LET(_xlpm.v, _xlfn.XLOOKUP('Calcolo Master'!$G24, Valutazioni!$A$2:$A$20, Valutazioni!$E$2:$E$20, ""),IF(AND('Calcolo Master'!$D24&lt;&gt;"", _xlpm.v&lt;&gt;"", 'Calcolo Master'!$D24=_xlpm.v), "X", "")))</f>
        <v/>
      </c>
      <c r="J39" s="66" t="str">
        <f>IF(CONTROLLO!$B$13="SI", "",_xlfn.LET(_xlpm.v, _xlfn.XLOOKUP('Calcolo Master'!$G24, Valutazioni!$A$2:$A$20, Valutazioni!$F$2:$F$20, ""),IF(AND('Calcolo Master'!$D24&lt;&gt;"", _xlpm.v&lt;&gt;"", 'Calcolo Master'!$D24=_xlpm.v), "X", "")))</f>
        <v/>
      </c>
    </row>
    <row r="40" spans="1:10">
      <c r="A40" s="80" t="str">
        <f>'Calcolo Master'!F25</f>
        <v>mantiene il controllo (ordine e tranquillità)</v>
      </c>
      <c r="B40" s="81"/>
      <c r="C40" s="81"/>
      <c r="D40" s="81"/>
      <c r="E40" s="81"/>
      <c r="F40" s="64" t="str">
        <f>IF(CONTROLLO!$B$13="SI", "",_xlfn.LET(_xlpm.v, _xlfn.XLOOKUP('Calcolo Master'!$G25, Valutazioni!$A$2:$A$20, Valutazioni!$B$2:$B$20, ""),IF(AND('Calcolo Master'!$D25&lt;&gt;"", _xlpm.v&lt;&gt;"", 'Calcolo Master'!$D25=_xlpm.v), "X", "")))</f>
        <v/>
      </c>
      <c r="G40" s="64" t="str">
        <f>IF(CONTROLLO!$B$13="SI", "",_xlfn.LET(_xlpm.v, _xlfn.XLOOKUP('Calcolo Master'!$G25, Valutazioni!$A$2:$A$20, Valutazioni!$C$2:$C$20, ""),IF(AND('Calcolo Master'!$D25&lt;&gt;"", _xlpm.v&lt;&gt;"", 'Calcolo Master'!$D25=_xlpm.v), "X", "")))</f>
        <v/>
      </c>
      <c r="H40" s="64" t="str">
        <f>IF(CONTROLLO!$B$13="SI", "",_xlfn.LET(_xlpm.v, _xlfn.XLOOKUP('Calcolo Master'!$G25, Valutazioni!$A$2:$A$20, Valutazioni!$D$2:$D$20, ""),IF(AND('Calcolo Master'!$D25&lt;&gt;"", _xlpm.v&lt;&gt;"", 'Calcolo Master'!$D25=_xlpm.v), "X", "")))</f>
        <v/>
      </c>
      <c r="I40" s="64" t="str">
        <f>IF(CONTROLLO!$B$13="SI", "",_xlfn.LET(_xlpm.v, _xlfn.XLOOKUP('Calcolo Master'!$G25, Valutazioni!$A$2:$A$20, Valutazioni!$E$2:$E$20, ""),IF(AND('Calcolo Master'!$D25&lt;&gt;"", _xlpm.v&lt;&gt;"", 'Calcolo Master'!$D25=_xlpm.v), "X", "")))</f>
        <v/>
      </c>
      <c r="J40" s="66" t="str">
        <f>IF(CONTROLLO!$B$13="SI", "",_xlfn.LET(_xlpm.v, _xlfn.XLOOKUP('Calcolo Master'!$G25, Valutazioni!$A$2:$A$20, Valutazioni!$F$2:$F$20, ""),IF(AND('Calcolo Master'!$D25&lt;&gt;"", _xlpm.v&lt;&gt;"", 'Calcolo Master'!$D25=_xlpm.v), "X", "")))</f>
        <v/>
      </c>
    </row>
    <row r="41" spans="1:10">
      <c r="A41" s="80" t="str">
        <f>'Calcolo Master'!F26</f>
        <v>supporto continuo ai membri del team</v>
      </c>
      <c r="B41" s="81"/>
      <c r="C41" s="81"/>
      <c r="D41" s="81"/>
      <c r="E41" s="81"/>
      <c r="F41" s="64" t="str">
        <f>IF(CONTROLLO!$B$13="SI", "",_xlfn.LET(_xlpm.v, _xlfn.XLOOKUP('Calcolo Master'!$G26, Valutazioni!$A$2:$A$20, Valutazioni!$B$2:$B$20, ""),IF(AND('Calcolo Master'!$D26&lt;&gt;"", _xlpm.v&lt;&gt;"", 'Calcolo Master'!$D26=_xlpm.v), "X", "")))</f>
        <v/>
      </c>
      <c r="G41" s="64" t="str">
        <f>IF(CONTROLLO!$B$13="SI", "",_xlfn.LET(_xlpm.v, _xlfn.XLOOKUP('Calcolo Master'!$G26, Valutazioni!$A$2:$A$20, Valutazioni!$C$2:$C$20, ""),IF(AND('Calcolo Master'!$D26&lt;&gt;"", _xlpm.v&lt;&gt;"", 'Calcolo Master'!$D26=_xlpm.v), "X", "")))</f>
        <v/>
      </c>
      <c r="H41" s="64" t="str">
        <f>IF(CONTROLLO!$B$13="SI", "",_xlfn.LET(_xlpm.v, _xlfn.XLOOKUP('Calcolo Master'!$G26, Valutazioni!$A$2:$A$20, Valutazioni!$D$2:$D$20, ""),IF(AND('Calcolo Master'!$D26&lt;&gt;"", _xlpm.v&lt;&gt;"", 'Calcolo Master'!$D26=_xlpm.v), "X", "")))</f>
        <v/>
      </c>
      <c r="I41" s="64" t="str">
        <f>IF(CONTROLLO!$B$13="SI", "",_xlfn.LET(_xlpm.v, _xlfn.XLOOKUP('Calcolo Master'!$G26, Valutazioni!$A$2:$A$20, Valutazioni!$E$2:$E$20, ""),IF(AND('Calcolo Master'!$D26&lt;&gt;"", _xlpm.v&lt;&gt;"", 'Calcolo Master'!$D26=_xlpm.v), "X", "")))</f>
        <v/>
      </c>
      <c r="J41" s="66" t="str">
        <f>IF(CONTROLLO!$B$13="SI", "",_xlfn.LET(_xlpm.v, _xlfn.XLOOKUP('Calcolo Master'!$G26, Valutazioni!$A$2:$A$20, Valutazioni!$F$2:$F$20, ""),IF(AND('Calcolo Master'!$D26&lt;&gt;"", _xlpm.v&lt;&gt;"", 'Calcolo Master'!$D26=_xlpm.v), "X", "")))</f>
        <v/>
      </c>
    </row>
    <row r="42" spans="1:10">
      <c r="A42" s="80" t="str">
        <f>'Calcolo Master'!F27</f>
        <v>iniziativa e inventiva</v>
      </c>
      <c r="B42" s="81"/>
      <c r="C42" s="81"/>
      <c r="D42" s="81"/>
      <c r="E42" s="81"/>
      <c r="F42" s="64" t="str">
        <f>IF(CONTROLLO!$B$13="SI", "",_xlfn.LET(_xlpm.v, _xlfn.XLOOKUP('Calcolo Master'!$G27, Valutazioni!$A$2:$A$20, Valutazioni!$B$2:$B$20, ""),IF(AND('Calcolo Master'!$D27&lt;&gt;"", _xlpm.v&lt;&gt;"", 'Calcolo Master'!$D27=_xlpm.v), "X", "")))</f>
        <v/>
      </c>
      <c r="G42" s="64" t="str">
        <f>IF(CONTROLLO!$B$13="SI", "",_xlfn.LET(_xlpm.v, _xlfn.XLOOKUP('Calcolo Master'!$G27, Valutazioni!$A$2:$A$20, Valutazioni!$C$2:$C$20, ""),IF(AND('Calcolo Master'!$D27&lt;&gt;"", _xlpm.v&lt;&gt;"", 'Calcolo Master'!$D27=_xlpm.v), "X", "")))</f>
        <v/>
      </c>
      <c r="H42" s="64" t="str">
        <f>IF(CONTROLLO!$B$13="SI", "",_xlfn.LET(_xlpm.v, _xlfn.XLOOKUP('Calcolo Master'!$G27, Valutazioni!$A$2:$A$20, Valutazioni!$D$2:$D$20, ""),IF(AND('Calcolo Master'!$D27&lt;&gt;"", _xlpm.v&lt;&gt;"", 'Calcolo Master'!$D27=_xlpm.v), "X", "")))</f>
        <v/>
      </c>
      <c r="I42" s="64" t="str">
        <f>IF(CONTROLLO!$B$13="SI", "",_xlfn.LET(_xlpm.v, _xlfn.XLOOKUP('Calcolo Master'!$G27, Valutazioni!$A$2:$A$20, Valutazioni!$E$2:$E$20, ""),IF(AND('Calcolo Master'!$D27&lt;&gt;"", _xlpm.v&lt;&gt;"", 'Calcolo Master'!$D27=_xlpm.v), "X", "")))</f>
        <v/>
      </c>
      <c r="J42" s="66" t="str">
        <f>IF(CONTROLLO!$B$13="SI", "",_xlfn.LET(_xlpm.v, _xlfn.XLOOKUP('Calcolo Master'!$G27, Valutazioni!$A$2:$A$20, Valutazioni!$F$2:$F$20, ""),IF(AND('Calcolo Master'!$D27&lt;&gt;"", _xlpm.v&lt;&gt;"", 'Calcolo Master'!$D27=_xlpm.v), "X", "")))</f>
        <v/>
      </c>
    </row>
    <row r="43" spans="1:10">
      <c r="A43" s="80" t="str">
        <f>'Calcolo Master'!F28</f>
        <v>capacità comunicativa e affiatamento della squadra</v>
      </c>
      <c r="B43" s="81"/>
      <c r="C43" s="81"/>
      <c r="D43" s="81"/>
      <c r="E43" s="81"/>
      <c r="F43" s="64" t="str">
        <f>IF(CONTROLLO!$B$13="SI", "",_xlfn.LET(_xlpm.v, _xlfn.XLOOKUP('Calcolo Master'!$G28, Valutazioni!$A$2:$A$20, Valutazioni!$B$2:$B$20, ""),IF(AND('Calcolo Master'!$D28&lt;&gt;"", _xlpm.v&lt;&gt;"", 'Calcolo Master'!$D28=_xlpm.v), "X", "")))</f>
        <v/>
      </c>
      <c r="G43" s="64" t="str">
        <f>IF(CONTROLLO!$B$13="SI", "",_xlfn.LET(_xlpm.v, _xlfn.XLOOKUP('Calcolo Master'!$G28, Valutazioni!$A$2:$A$20, Valutazioni!$C$2:$C$20, ""),IF(AND('Calcolo Master'!$D28&lt;&gt;"", _xlpm.v&lt;&gt;"", 'Calcolo Master'!$D28=_xlpm.v), "X", "")))</f>
        <v/>
      </c>
      <c r="H43" s="64" t="str">
        <f>IF(CONTROLLO!$B$13="SI", "",_xlfn.LET(_xlpm.v, _xlfn.XLOOKUP('Calcolo Master'!$G28, Valutazioni!$A$2:$A$20, Valutazioni!$D$2:$D$20, ""),IF(AND('Calcolo Master'!$D28&lt;&gt;"", _xlpm.v&lt;&gt;"", 'Calcolo Master'!$D28=_xlpm.v), "X", "")))</f>
        <v/>
      </c>
      <c r="I43" s="64" t="str">
        <f>IF(CONTROLLO!$B$13="SI", "",_xlfn.LET(_xlpm.v, _xlfn.XLOOKUP('Calcolo Master'!$G28, Valutazioni!$A$2:$A$20, Valutazioni!$E$2:$E$20, ""),IF(AND('Calcolo Master'!$D28&lt;&gt;"", _xlpm.v&lt;&gt;"", 'Calcolo Master'!$D28=_xlpm.v), "X", "")))</f>
        <v/>
      </c>
      <c r="J43" s="66" t="str">
        <f>IF(CONTROLLO!$B$13="SI", "",_xlfn.LET(_xlpm.v, _xlfn.XLOOKUP('Calcolo Master'!$G28, Valutazioni!$A$2:$A$20, Valutazioni!$F$2:$F$20, ""),IF(AND('Calcolo Master'!$D28&lt;&gt;"", _xlpm.v&lt;&gt;"", 'Calcolo Master'!$D28=_xlpm.v), "X", "")))</f>
        <v/>
      </c>
    </row>
    <row r="44" spans="1:10">
      <c r="A44" s="65" t="str">
        <f>'Calcolo Master'!F29</f>
        <v>REPORT FINALE</v>
      </c>
      <c r="B44" s="16"/>
      <c r="C44" s="16"/>
      <c r="D44" s="16"/>
      <c r="E44" s="16"/>
      <c r="F44" s="64" t="str">
        <f>IF(CONTROLLO!$B$13="SI", "",_xlfn.LET(_xlpm.v, _xlfn.XLOOKUP('Calcolo Master'!$G29, Valutazioni!$A$2:$A$20, Valutazioni!$B$2:$B$20, ""),IF(AND('Calcolo Master'!$D29&lt;&gt;"", _xlpm.v&lt;&gt;"", 'Calcolo Master'!$D29=_xlpm.v), "X", "")))</f>
        <v/>
      </c>
      <c r="G44" s="64" t="str">
        <f>IF(CONTROLLO!$B$13="SI", "",_xlfn.LET(_xlpm.v, _xlfn.XLOOKUP('Calcolo Master'!$G29, Valutazioni!$A$2:$A$20, Valutazioni!$C$2:$C$20, ""),IF(AND('Calcolo Master'!$D29&lt;&gt;"", _xlpm.v&lt;&gt;"", 'Calcolo Master'!$D29=_xlpm.v), "X", "")))</f>
        <v/>
      </c>
      <c r="H44" s="64" t="str">
        <f>IF(CONTROLLO!$B$13="SI", "",_xlfn.LET(_xlpm.v, _xlfn.XLOOKUP('Calcolo Master'!$G29, Valutazioni!$A$2:$A$20, Valutazioni!$D$2:$D$20, ""),IF(AND('Calcolo Master'!$D29&lt;&gt;"", _xlpm.v&lt;&gt;"", 'Calcolo Master'!$D29=_xlpm.v), "X", "")))</f>
        <v/>
      </c>
      <c r="I44" s="64" t="str">
        <f>IF(CONTROLLO!$B$13="SI", "",_xlfn.LET(_xlpm.v, _xlfn.XLOOKUP('Calcolo Master'!$G29, Valutazioni!$A$2:$A$20, Valutazioni!$E$2:$E$20, ""),IF(AND('Calcolo Master'!$D29&lt;&gt;"", _xlpm.v&lt;&gt;"", 'Calcolo Master'!$D29=_xlpm.v), "X", "")))</f>
        <v/>
      </c>
      <c r="J44" s="66" t="str">
        <f>IF(CONTROLLO!$B$13="SI", "",_xlfn.LET(_xlpm.v, _xlfn.XLOOKUP('Calcolo Master'!$G29, Valutazioni!$A$2:$A$20, Valutazioni!$F$2:$F$20, ""),IF(AND('Calcolo Master'!$D29&lt;&gt;"", _xlpm.v&lt;&gt;"", 'Calcolo Master'!$D29=_xlpm.v), "X", "")))</f>
        <v/>
      </c>
    </row>
    <row r="45" spans="1:10">
      <c r="A45" s="80" t="str">
        <f>'Calcolo Master'!F30</f>
        <v xml:space="preserve">numero infortunati </v>
      </c>
      <c r="B45" s="81"/>
      <c r="C45" s="81"/>
      <c r="D45" s="81"/>
      <c r="E45" s="81"/>
      <c r="F45" s="64" t="str">
        <f>IF(CONTROLLO!$B$13="SI", "",_xlfn.LET(_xlpm.v, _xlfn.XLOOKUP('Calcolo Master'!$G30, Valutazioni!$A$2:$A$20, Valutazioni!$B$2:$B$20, ""),IF(AND('Calcolo Master'!$D30&lt;&gt;"", _xlpm.v&lt;&gt;"", 'Calcolo Master'!$D30=_xlpm.v), "X", "")))</f>
        <v/>
      </c>
      <c r="G45" s="64" t="str">
        <f>IF(CONTROLLO!$B$13="SI", "",_xlfn.LET(_xlpm.v, _xlfn.XLOOKUP('Calcolo Master'!$G30, Valutazioni!$A$2:$A$20, Valutazioni!$C$2:$C$20, ""),IF(AND('Calcolo Master'!$D30&lt;&gt;"", _xlpm.v&lt;&gt;"", 'Calcolo Master'!$D30=_xlpm.v), "X", "")))</f>
        <v/>
      </c>
      <c r="H45" s="64" t="str">
        <f>IF(CONTROLLO!$B$13="SI", "",_xlfn.LET(_xlpm.v, _xlfn.XLOOKUP('Calcolo Master'!$G30, Valutazioni!$A$2:$A$20, Valutazioni!$D$2:$D$20, ""),IF(AND('Calcolo Master'!$D30&lt;&gt;"", _xlpm.v&lt;&gt;"", 'Calcolo Master'!$D30=_xlpm.v), "X", "")))</f>
        <v/>
      </c>
      <c r="I45" s="64" t="str">
        <f>IF(CONTROLLO!$B$13="SI", "",_xlfn.LET(_xlpm.v, _xlfn.XLOOKUP('Calcolo Master'!$G30, Valutazioni!$A$2:$A$20, Valutazioni!$E$2:$E$20, ""),IF(AND('Calcolo Master'!$D30&lt;&gt;"", _xlpm.v&lt;&gt;"", 'Calcolo Master'!$D30=_xlpm.v), "X", "")))</f>
        <v/>
      </c>
      <c r="J45" s="66" t="str">
        <f>IF(CONTROLLO!$B$13="SI", "",_xlfn.LET(_xlpm.v, _xlfn.XLOOKUP('Calcolo Master'!$G30, Valutazioni!$A$2:$A$20, Valutazioni!$F$2:$F$20, ""),IF(AND('Calcolo Master'!$D30&lt;&gt;"", _xlpm.v&lt;&gt;"", 'Calcolo Master'!$D30=_xlpm.v), "X", "")))</f>
        <v/>
      </c>
    </row>
    <row r="46" spans="1:10">
      <c r="A46" s="80" t="str">
        <f>'Calcolo Master'!F31</f>
        <v>lesioni e trattamenti</v>
      </c>
      <c r="B46" s="81"/>
      <c r="C46" s="81"/>
      <c r="D46" s="81"/>
      <c r="E46" s="81"/>
      <c r="F46" s="64" t="str">
        <f>IF(CONTROLLO!$B$13="SI", "",_xlfn.LET(_xlpm.v, _xlfn.XLOOKUP('Calcolo Master'!$G31, Valutazioni!$A$2:$A$20, Valutazioni!$B$2:$B$20, ""),IF(AND('Calcolo Master'!$D31&lt;&gt;"", _xlpm.v&lt;&gt;"", 'Calcolo Master'!$D31=_xlpm.v), "X", "")))</f>
        <v/>
      </c>
      <c r="G46" s="64" t="str">
        <f>IF(CONTROLLO!$B$13="SI", "",_xlfn.LET(_xlpm.v, _xlfn.XLOOKUP('Calcolo Master'!$G31, Valutazioni!$A$2:$A$20, Valutazioni!$C$2:$C$20, ""),IF(AND('Calcolo Master'!$D31&lt;&gt;"", _xlpm.v&lt;&gt;"", 'Calcolo Master'!$D31=_xlpm.v), "X", "")))</f>
        <v/>
      </c>
      <c r="H46" s="64" t="str">
        <f>IF(CONTROLLO!$B$13="SI", "",_xlfn.LET(_xlpm.v, _xlfn.XLOOKUP('Calcolo Master'!$G31, Valutazioni!$A$2:$A$20, Valutazioni!$D$2:$D$20, ""),IF(AND('Calcolo Master'!$D31&lt;&gt;"", _xlpm.v&lt;&gt;"", 'Calcolo Master'!$D31=_xlpm.v), "X", "")))</f>
        <v/>
      </c>
      <c r="I46" s="64" t="str">
        <f>IF(CONTROLLO!$B$13="SI", "",_xlfn.LET(_xlpm.v, _xlfn.XLOOKUP('Calcolo Master'!$G31, Valutazioni!$A$2:$A$20, Valutazioni!$E$2:$E$20, ""),IF(AND('Calcolo Master'!$D31&lt;&gt;"", _xlpm.v&lt;&gt;"", 'Calcolo Master'!$D31=_xlpm.v), "X", "")))</f>
        <v/>
      </c>
      <c r="J46" s="66" t="str">
        <f>IF(CONTROLLO!$B$13="SI", "",_xlfn.LET(_xlpm.v, _xlfn.XLOOKUP('Calcolo Master'!$G31, Valutazioni!$A$2:$A$20, Valutazioni!$F$2:$F$20, ""),IF(AND('Calcolo Master'!$D31&lt;&gt;"", _xlpm.v&lt;&gt;"", 'Calcolo Master'!$D31=_xlpm.v), "X", "")))</f>
        <v/>
      </c>
    </row>
    <row r="47" spans="1:10">
      <c r="A47" s="65" t="str">
        <f>'Calcolo Master'!F32</f>
        <v>RISULTATO TECNICO</v>
      </c>
      <c r="B47" s="16"/>
      <c r="C47" s="16"/>
      <c r="D47" s="16"/>
      <c r="E47" s="16"/>
      <c r="F47" s="64" t="str">
        <f>IF(CONTROLLO!$B$13="SI", "",_xlfn.LET(_xlpm.v, _xlfn.XLOOKUP('Calcolo Master'!$G32, Valutazioni!$A$2:$A$20, Valutazioni!$B$2:$B$20, ""),IF(AND('Calcolo Master'!$D32&lt;&gt;"", _xlpm.v&lt;&gt;"", 'Calcolo Master'!$D32=_xlpm.v), "X", "")))</f>
        <v/>
      </c>
      <c r="G47" s="64" t="str">
        <f>IF(CONTROLLO!$B$13="SI", "",_xlfn.LET(_xlpm.v, _xlfn.XLOOKUP('Calcolo Master'!$G32, Valutazioni!$A$2:$A$20, Valutazioni!$C$2:$C$20, ""),IF(AND('Calcolo Master'!$D32&lt;&gt;"", _xlpm.v&lt;&gt;"", 'Calcolo Master'!$D32=_xlpm.v), "X", "")))</f>
        <v/>
      </c>
      <c r="H47" s="64" t="str">
        <f>IF(CONTROLLO!$B$13="SI", "",_xlfn.LET(_xlpm.v, _xlfn.XLOOKUP('Calcolo Master'!$G32, Valutazioni!$A$2:$A$20, Valutazioni!$D$2:$D$20, ""),IF(AND('Calcolo Master'!$D32&lt;&gt;"", _xlpm.v&lt;&gt;"", 'Calcolo Master'!$D32=_xlpm.v), "X", "")))</f>
        <v/>
      </c>
      <c r="I47" s="64" t="str">
        <f>IF(CONTROLLO!$B$13="SI", "",_xlfn.LET(_xlpm.v, _xlfn.XLOOKUP('Calcolo Master'!$G32, Valutazioni!$A$2:$A$20, Valutazioni!$E$2:$E$20, ""),IF(AND('Calcolo Master'!$D32&lt;&gt;"", _xlpm.v&lt;&gt;"", 'Calcolo Master'!$D32=_xlpm.v), "X", "")))</f>
        <v/>
      </c>
      <c r="J47" s="66" t="str">
        <f>IF(CONTROLLO!$B$13="SI", "",_xlfn.LET(_xlpm.v, _xlfn.XLOOKUP('Calcolo Master'!$G32, Valutazioni!$A$2:$A$20, Valutazioni!$F$2:$F$20, ""),IF(AND('Calcolo Master'!$D32&lt;&gt;"", _xlpm.v&lt;&gt;"", 'Calcolo Master'!$D32=_xlpm.v), "X", "")))</f>
        <v/>
      </c>
    </row>
    <row r="48" spans="1:10">
      <c r="A48" s="80" t="str">
        <f>'Calcolo Master'!F33</f>
        <v>raggiungono l’obiettivo</v>
      </c>
      <c r="B48" s="81"/>
      <c r="C48" s="81"/>
      <c r="D48" s="81"/>
      <c r="E48" s="81"/>
      <c r="F48" s="64" t="str">
        <f>IF(CONTROLLO!$B$13="SI", "",_xlfn.LET(_xlpm.v, _xlfn.XLOOKUP('Calcolo Master'!$G33, Valutazioni!$A$2:$A$20, Valutazioni!$B$2:$B$20, ""),IF(AND('Calcolo Master'!$D33&lt;&gt;"", _xlpm.v&lt;&gt;"", 'Calcolo Master'!$D33=_xlpm.v), "X", "")))</f>
        <v/>
      </c>
      <c r="G48" s="64" t="str">
        <f>IF(CONTROLLO!$B$13="SI", "",_xlfn.LET(_xlpm.v, _xlfn.XLOOKUP('Calcolo Master'!$G33, Valutazioni!$A$2:$A$20, Valutazioni!$C$2:$C$20, ""),IF(AND('Calcolo Master'!$D33&lt;&gt;"", _xlpm.v&lt;&gt;"", 'Calcolo Master'!$D33=_xlpm.v), "X", "")))</f>
        <v/>
      </c>
      <c r="H48" s="64" t="str">
        <f>IF(CONTROLLO!$B$13="SI", "",_xlfn.LET(_xlpm.v, _xlfn.XLOOKUP('Calcolo Master'!$G33, Valutazioni!$A$2:$A$20, Valutazioni!$D$2:$D$20, ""),IF(AND('Calcolo Master'!$D33&lt;&gt;"", _xlpm.v&lt;&gt;"", 'Calcolo Master'!$D33=_xlpm.v), "X", "")))</f>
        <v/>
      </c>
      <c r="I48" s="64" t="str">
        <f>IF(CONTROLLO!$B$13="SI", "",_xlfn.LET(_xlpm.v, _xlfn.XLOOKUP('Calcolo Master'!$G33, Valutazioni!$A$2:$A$20, Valutazioni!$E$2:$E$20, ""),IF(AND('Calcolo Master'!$D33&lt;&gt;"", _xlpm.v&lt;&gt;"", 'Calcolo Master'!$D33=_xlpm.v), "X", "")))</f>
        <v/>
      </c>
      <c r="J48" s="66" t="str">
        <f>IF(CONTROLLO!$B$13="SI", "",_xlfn.LET(_xlpm.v, _xlfn.XLOOKUP('Calcolo Master'!$G33, Valutazioni!$A$2:$A$20, Valutazioni!$F$2:$F$20, ""),IF(AND('Calcolo Master'!$D33&lt;&gt;"", _xlpm.v&lt;&gt;"", 'Calcolo Master'!$D33=_xlpm.v), "X", "")))</f>
        <v/>
      </c>
    </row>
    <row r="49" spans="1:10" ht="14.25" customHeight="1">
      <c r="A49" s="34"/>
      <c r="F49" s="64" t="str" cm="1">
        <f t="array" ref="F49">_xlfn.LET(_xlpm.v,_xlfn.XLOOKUP('Calcolo Master'!$G34,tblValutazioni[TipoValutazione],tblValutazioni[MB],""),IF(AND('Calcolo Master'!$D34&lt;&gt;"", _xlpm.v&lt;&gt;"",'Calcolo Master'!$D34=_xlpm.v), "X", ""))</f>
        <v/>
      </c>
      <c r="G49" s="64" t="str" cm="1">
        <f t="array" ref="G49">_xlfn.LET(_xlpm.v, _xlfn.XLOOKUP('Calcolo Master'!$G34, tblValutazioni[TipoValutazione], tblValutazioni[BE], ""),
  IF(AND('Calcolo Master'!$D34&lt;&gt;"", _xlpm.v&lt;&gt;"",'Calcolo Master'!$D34=_xlpm.v), "X", ""))</f>
        <v/>
      </c>
      <c r="J49" s="36"/>
    </row>
    <row r="50" spans="1:10" ht="14.45" customHeight="1">
      <c r="A50" s="134" t="s">
        <v>765</v>
      </c>
      <c r="B50" s="132"/>
      <c r="C50" s="132"/>
      <c r="D50" s="132"/>
      <c r="E50" s="132"/>
      <c r="F50" s="132"/>
      <c r="G50" s="114"/>
      <c r="H50" s="130" t="s">
        <v>766</v>
      </c>
      <c r="I50" s="150"/>
      <c r="J50" s="151"/>
    </row>
    <row r="51" spans="1:10" ht="14.45" customHeight="1">
      <c r="A51" s="135"/>
      <c r="B51" s="120"/>
      <c r="C51" s="120"/>
      <c r="D51" s="120"/>
      <c r="E51" s="120"/>
      <c r="F51" s="120"/>
      <c r="G51" s="120"/>
      <c r="H51" s="109"/>
      <c r="I51" s="152"/>
      <c r="J51" s="153"/>
    </row>
    <row r="52" spans="1:10" ht="14.45" customHeight="1">
      <c r="A52" s="135"/>
      <c r="B52" s="120"/>
      <c r="C52" s="120"/>
      <c r="D52" s="120"/>
      <c r="E52" s="120"/>
      <c r="F52" s="120"/>
      <c r="G52" s="120"/>
      <c r="H52" s="154"/>
      <c r="I52" s="144"/>
      <c r="J52" s="155"/>
    </row>
    <row r="53" spans="1:10" ht="14.45" customHeight="1">
      <c r="A53" s="136"/>
      <c r="B53" s="133"/>
      <c r="C53" s="133"/>
      <c r="D53" s="133"/>
      <c r="E53" s="133"/>
      <c r="F53" s="133"/>
      <c r="G53" s="133"/>
      <c r="H53" s="148"/>
      <c r="I53" s="149"/>
      <c r="J53" s="156"/>
    </row>
    <row r="54" spans="1:10" ht="15">
      <c r="A54" s="128"/>
      <c r="B54" s="157"/>
      <c r="C54" s="157"/>
      <c r="D54" s="157"/>
      <c r="E54" s="157"/>
      <c r="F54" s="157"/>
      <c r="G54" s="157"/>
      <c r="H54" s="149"/>
      <c r="I54" s="149"/>
      <c r="J54" s="156"/>
    </row>
  </sheetData>
  <mergeCells count="17">
    <mergeCell ref="C1:H2"/>
    <mergeCell ref="C3:H4"/>
    <mergeCell ref="C5:H6"/>
    <mergeCell ref="A54:J54"/>
    <mergeCell ref="H51:J53"/>
    <mergeCell ref="A12:E13"/>
    <mergeCell ref="G9:J10"/>
    <mergeCell ref="H50:J50"/>
    <mergeCell ref="F9:F10"/>
    <mergeCell ref="A15:E16"/>
    <mergeCell ref="A9:B10"/>
    <mergeCell ref="B50:G53"/>
    <mergeCell ref="A50:A53"/>
    <mergeCell ref="C11:E11"/>
    <mergeCell ref="A11:B11"/>
    <mergeCell ref="C9:D9"/>
    <mergeCell ref="C10:D10"/>
  </mergeCells>
  <pageMargins left="0.23622047244094499" right="0.23622047244094499" top="0.23622047244094499" bottom="0.23622047244094499" header="0.31496062992126" footer="0"/>
  <pageSetup paperSize="9" scale="96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C2AC7F71-4F93-455C-9BA7-EBEE33DC1D92}">
            <xm:f>OR('Calcolo Master'!$A2="",   IFERROR(INDEX(Valutazioni!$B$2:$B$20,       MATCH('Calcolo Master'!$G2,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F17:F48</xm:sqref>
        </x14:conditionalFormatting>
        <x14:conditionalFormatting xmlns:xm="http://schemas.microsoft.com/office/excel/2006/main">
          <x14:cfRule type="expression" priority="4" id="{6DBDFF32-B0D5-4054-8336-B0D1E6C1366D}">
            <xm:f>OR('Calcolo Master'!$A2="",   IFERROR(INDEX(Valutazioni!$C$2:$C$20,       MATCH('Calcolo Master'!$G2,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G17:G48</xm:sqref>
        </x14:conditionalFormatting>
        <x14:conditionalFormatting xmlns:xm="http://schemas.microsoft.com/office/excel/2006/main">
          <x14:cfRule type="expression" priority="3" id="{818242B5-5344-493F-A860-8082F440232C}">
            <xm:f>OR('Calcolo Master'!$A2="",   IFERROR(INDEX(Valutazioni!$D$2:$D$20,       MATCH('Calcolo Master'!$G2,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H17:H48</xm:sqref>
        </x14:conditionalFormatting>
        <x14:conditionalFormatting xmlns:xm="http://schemas.microsoft.com/office/excel/2006/main">
          <x14:cfRule type="expression" priority="2" id="{0CB6EFD1-461B-47CD-94F9-B386209AE9ED}">
            <xm:f>OR('Calcolo Master'!$A2="",   IFERROR(INDEX(Valutazioni!$E$2:$E$20,       MATCH('Calcolo Master'!$G2,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I17:I48</xm:sqref>
        </x14:conditionalFormatting>
        <x14:conditionalFormatting xmlns:xm="http://schemas.microsoft.com/office/excel/2006/main">
          <x14:cfRule type="expression" priority="1" id="{B1A624A2-A5E4-4A55-9663-F81AC528B8E7}">
            <xm:f>OR('Calcolo Master'!$A2="",   IFERROR(INDEX(Valutazioni!$F$2:$F$20,       MATCH('Calcolo Master'!$G2,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J17:J48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D72B-9FF3-47A2-997D-E10CEFA01BEB}">
  <sheetPr>
    <pageSetUpPr fitToPage="1"/>
  </sheetPr>
  <dimension ref="A1:J47"/>
  <sheetViews>
    <sheetView zoomScaleNormal="100" workbookViewId="0">
      <selection activeCell="A11" sqref="A11:E11"/>
    </sheetView>
  </sheetViews>
  <sheetFormatPr defaultColWidth="8.85546875" defaultRowHeight="15"/>
  <cols>
    <col min="1" max="2" width="9.42578125" customWidth="1"/>
    <col min="3" max="3" width="10.42578125" customWidth="1"/>
    <col min="4" max="4" width="15.5703125" customWidth="1"/>
    <col min="5" max="5" width="10.42578125" customWidth="1"/>
    <col min="6" max="10" width="9.42578125" customWidth="1"/>
  </cols>
  <sheetData>
    <row r="1" spans="1:10" ht="15" customHeight="1">
      <c r="A1" s="61"/>
      <c r="B1" s="62"/>
      <c r="C1" s="93" t="s">
        <v>752</v>
      </c>
      <c r="D1" s="93"/>
      <c r="E1" s="93"/>
      <c r="F1" s="93"/>
      <c r="G1" s="93"/>
      <c r="H1" s="93"/>
      <c r="I1" s="62"/>
      <c r="J1" s="87"/>
    </row>
    <row r="2" spans="1:10" ht="15" customHeight="1">
      <c r="A2" s="34"/>
      <c r="C2" s="94"/>
      <c r="D2" s="94"/>
      <c r="E2" s="94"/>
      <c r="F2" s="94"/>
      <c r="G2" s="94"/>
      <c r="H2" s="94"/>
      <c r="J2" s="36"/>
    </row>
    <row r="3" spans="1:10" ht="15" customHeight="1">
      <c r="A3" s="34"/>
      <c r="C3" s="95" t="s">
        <v>753</v>
      </c>
      <c r="D3" s="95"/>
      <c r="E3" s="95"/>
      <c r="F3" s="95"/>
      <c r="G3" s="95"/>
      <c r="H3" s="95"/>
      <c r="J3" s="36"/>
    </row>
    <row r="4" spans="1:10" ht="15" customHeight="1">
      <c r="A4" s="34"/>
      <c r="C4" s="95"/>
      <c r="D4" s="95"/>
      <c r="E4" s="95"/>
      <c r="F4" s="95"/>
      <c r="G4" s="95"/>
      <c r="H4" s="95"/>
      <c r="J4" s="36"/>
    </row>
    <row r="5" spans="1:10" ht="15" customHeight="1">
      <c r="A5" s="34"/>
      <c r="C5" s="96" t="s">
        <v>754</v>
      </c>
      <c r="D5" s="96"/>
      <c r="E5" s="96"/>
      <c r="F5" s="96"/>
      <c r="G5" s="96"/>
      <c r="H5" s="96"/>
      <c r="J5" s="36"/>
    </row>
    <row r="6" spans="1:10" ht="15" customHeight="1">
      <c r="A6" s="34"/>
      <c r="C6" s="96"/>
      <c r="D6" s="96"/>
      <c r="E6" s="96"/>
      <c r="F6" s="96"/>
      <c r="G6" s="96"/>
      <c r="H6" s="96"/>
      <c r="J6" s="36"/>
    </row>
    <row r="7" spans="1:10" ht="5.25" customHeight="1">
      <c r="A7" s="34"/>
      <c r="J7" s="36"/>
    </row>
    <row r="8" spans="1:10" ht="5.25" customHeight="1">
      <c r="A8" s="34"/>
      <c r="J8" s="36"/>
    </row>
    <row r="9" spans="1:10" ht="16.5" customHeight="1">
      <c r="A9" s="158" t="str">
        <f>ScenaAttiva &amp; TEXT(SquadraAttiva,"00")&amp; "01"</f>
        <v>A0301</v>
      </c>
      <c r="B9" s="158"/>
      <c r="C9" s="99" t="s">
        <v>715</v>
      </c>
      <c r="D9" s="100"/>
      <c r="E9" s="43" t="s">
        <v>661</v>
      </c>
      <c r="F9" s="142" t="s">
        <v>280</v>
      </c>
      <c r="G9" s="108" t="str">
        <f>IF(INDEX(tblSchede[Giudice],MATCH(1,tblSchede[SimulatoreCodice],0))="","",INDEX(tblSchede[Giudice],MATCH(1,tblSchede[SimulatoreCodice],0)))</f>
        <v/>
      </c>
      <c r="H9" s="146"/>
      <c r="I9" s="146"/>
      <c r="J9" s="146"/>
    </row>
    <row r="10" spans="1:10" ht="14.25" customHeight="1">
      <c r="A10" s="158"/>
      <c r="B10" s="158"/>
      <c r="C10" s="101" t="str">
        <f>ScenaAttiva</f>
        <v>A</v>
      </c>
      <c r="D10" s="102"/>
      <c r="E10" s="51">
        <f>IF(INDEX(tblSchede[SimulatoreCodice],MATCH(1,tblSchede[SimulatoreCodice],0))="M","",INDEX(tblSchede[SimulatoreCodice],MATCH(1,tblSchede[SimulatoreCodice],0)))</f>
        <v>1</v>
      </c>
      <c r="F10" s="159"/>
      <c r="G10" s="146"/>
      <c r="H10" s="146"/>
      <c r="I10" s="146"/>
      <c r="J10" s="146"/>
    </row>
    <row r="11" spans="1:10" ht="14.25" customHeight="1">
      <c r="A11" s="97" t="s">
        <v>278</v>
      </c>
      <c r="B11" s="97"/>
      <c r="C11" s="98" t="str">
        <f>IFERROR(CONTROLLO!$B$8 &amp; "-" &amp; INDEX(tblSquadre[Squadra_Nome],MATCH(CONTROLLO!$B$8,tblSquadre[SquadraID],0)),"")</f>
        <v>3-Liguria 1</v>
      </c>
      <c r="D11" s="98"/>
      <c r="E11" s="98"/>
      <c r="G11" s="52" t="s">
        <v>663</v>
      </c>
      <c r="H11" s="52" t="s">
        <v>664</v>
      </c>
      <c r="I11" s="52" t="s">
        <v>665</v>
      </c>
      <c r="J11" s="50" t="s">
        <v>698</v>
      </c>
    </row>
    <row r="12" spans="1:10" ht="14.25" customHeight="1">
      <c r="A12" s="107" t="str">
        <f t="array" ref="A12">TitoloScenaAttivo</f>
        <v>Una Scuola Stupefacente</v>
      </c>
      <c r="B12" s="146"/>
      <c r="C12" s="146"/>
      <c r="D12" s="146"/>
      <c r="E12" s="146"/>
      <c r="F12" s="111" t="s">
        <v>767</v>
      </c>
      <c r="G12" s="112" t="str">
        <f>INDEX(tblSchede[Coscienza],MATCH(1,tblSchede[SimulatoreCodice],0))</f>
        <v>U</v>
      </c>
      <c r="H12" s="112">
        <f>INDEX(tblSchede[FR],MATCH(1,tblSchede[SimulatoreCodice],0))</f>
        <v>0</v>
      </c>
      <c r="I12" s="112">
        <f>INDEX(tblSchede[FC],MATCH(1,tblSchede[SimulatoreCodice],0))</f>
        <v>0</v>
      </c>
      <c r="J12" s="113">
        <f>INDEX(tblSchede[Cute],MATCH(1,tblSchede[SimulatoreCodice],0))</f>
        <v>0</v>
      </c>
    </row>
    <row r="13" spans="1:10" ht="14.25" customHeight="1">
      <c r="A13" s="146"/>
      <c r="B13" s="146"/>
      <c r="C13" s="146"/>
      <c r="D13" s="146"/>
      <c r="E13" s="146"/>
      <c r="F13" s="146"/>
      <c r="G13" s="146"/>
      <c r="H13" s="146"/>
      <c r="I13" s="146"/>
      <c r="J13" s="146"/>
    </row>
    <row r="14" spans="1:10" ht="3" customHeight="1">
      <c r="A14" s="34"/>
      <c r="J14" s="36"/>
    </row>
    <row r="15" spans="1:10" ht="50.25" customHeight="1">
      <c r="A15" s="107" t="str">
        <f>INDEX(tblSchede[Patologia],MATCH(1,tblSchede[SimulatoreCodice],0))</f>
        <v>PBLS</v>
      </c>
      <c r="B15" s="146"/>
      <c r="C15" s="146"/>
      <c r="D15" s="146"/>
      <c r="E15" s="146"/>
      <c r="F15" s="44" t="s">
        <v>755</v>
      </c>
      <c r="G15" s="44" t="s">
        <v>756</v>
      </c>
      <c r="H15" s="45" t="s">
        <v>757</v>
      </c>
      <c r="I15" s="46" t="s">
        <v>758</v>
      </c>
      <c r="J15" s="46" t="s">
        <v>759</v>
      </c>
    </row>
    <row r="16" spans="1:10" ht="15.95" customHeight="1">
      <c r="A16" s="147"/>
      <c r="B16" s="147"/>
      <c r="C16" s="147"/>
      <c r="D16" s="147"/>
      <c r="E16" s="147"/>
      <c r="F16" s="54" t="s">
        <v>760</v>
      </c>
      <c r="G16" s="54" t="s">
        <v>761</v>
      </c>
      <c r="H16" s="55" t="s">
        <v>762</v>
      </c>
      <c r="I16" s="56" t="s">
        <v>763</v>
      </c>
      <c r="J16" s="56" t="s">
        <v>764</v>
      </c>
    </row>
    <row r="17" spans="1:10" ht="14.45" customHeight="1">
      <c r="A17" s="140" t="str">
        <f>'Calcolo PBLS'!F2</f>
        <v>COMPORTAMENTO SULLA SCENA</v>
      </c>
      <c r="B17" s="140"/>
      <c r="C17" s="140"/>
      <c r="D17" s="140"/>
      <c r="E17" s="140"/>
      <c r="F17" s="64" t="str">
        <f>IF(CONTROLLO!$B$13="SI", "",_xlfn.LET(_xlpm.v, _xlfn.XLOOKUP('Calcolo PBLS'!$G2, Valutazioni!$A$2:$A$20, Valutazioni!$B$2:$B$20, ""),IF(AND('Calcolo PBLS'!$D2&lt;&gt;"", _xlpm.v&lt;&gt;"", 'Calcolo PBLS'!$D2=_xlpm.v), "X", "")))</f>
        <v/>
      </c>
      <c r="G17" s="64" t="str">
        <f>IF(CONTROLLO!$B$13="SI", "",_xlfn.LET(_xlpm.v, _xlfn.XLOOKUP('Calcolo PBLS'!$G2, Valutazioni!$A$2:$A$20, Valutazioni!$C$2:$C$20, ""),IF(AND('Calcolo PBLS'!$D2&lt;&gt;"", _xlpm.v&lt;&gt;"", 'Calcolo PBLS'!$D2=_xlpm.v), "X", "")))</f>
        <v/>
      </c>
      <c r="H17" s="64" t="str">
        <f>IF(CONTROLLO!$B$13="SI", "",_xlfn.LET(_xlpm.v, _xlfn.XLOOKUP('Calcolo PBLS'!$G2, Valutazioni!$A$2:$A$20, Valutazioni!$D$2:$D$20, ""),IF(AND('Calcolo PBLS'!$D2&lt;&gt;"", _xlpm.v&lt;&gt;"", 'Calcolo PBLS'!$D2=_xlpm.v), "X", "")))</f>
        <v/>
      </c>
      <c r="I17" s="64" t="str">
        <f>IF(CONTROLLO!$B$13="SI", "",_xlfn.LET(_xlpm.v, _xlfn.XLOOKUP('Calcolo PBLS'!$G2, Valutazioni!$A$2:$A$20, Valutazioni!$E$2:$E$20, ""),IF(AND('Calcolo PBLS'!$D2&lt;&gt;"", _xlpm.v&lt;&gt;"", 'Calcolo PBLS'!$D2=_xlpm.v), "X", "")))</f>
        <v/>
      </c>
      <c r="J17" s="66" t="str">
        <f>IF(CONTROLLO!$B$13="SI", "",_xlfn.LET(_xlpm.v, _xlfn.XLOOKUP('Calcolo PBLS'!$G2, Valutazioni!$A$2:$A$20, Valutazioni!$F$2:$F$20, ""),IF(AND('Calcolo PBLS'!$D2&lt;&gt;"", _xlpm.v&lt;&gt;"", 'Calcolo PBLS'!$D2=_xlpm.v), "X", "")))</f>
        <v/>
      </c>
    </row>
    <row r="18" spans="1:10" ht="14.45" customHeight="1">
      <c r="A18" s="139" t="str">
        <f>'Calcolo PBLS'!F3</f>
        <v>indossa i D.P.I. in scena</v>
      </c>
      <c r="B18" s="139"/>
      <c r="C18" s="139"/>
      <c r="D18" s="139"/>
      <c r="E18" s="139"/>
      <c r="F18" s="64" t="str">
        <f>IF(CONTROLLO!$B$13="SI", "",_xlfn.LET(_xlpm.v, _xlfn.XLOOKUP('Calcolo PBLS'!$G3, Valutazioni!$A$2:$A$20, Valutazioni!$B$2:$B$20, ""),IF(AND('Calcolo PBLS'!$D3&lt;&gt;"", _xlpm.v&lt;&gt;"", 'Calcolo PBLS'!$D3=_xlpm.v), "X", "")))</f>
        <v/>
      </c>
      <c r="G18" s="64" t="str">
        <f>IF(CONTROLLO!$B$13="SI", "",_xlfn.LET(_xlpm.v, _xlfn.XLOOKUP('Calcolo PBLS'!$G3, Valutazioni!$A$2:$A$20, Valutazioni!$C$2:$C$20, ""),IF(AND('Calcolo PBLS'!$D3&lt;&gt;"", _xlpm.v&lt;&gt;"", 'Calcolo PBLS'!$D3=_xlpm.v), "X", "")))</f>
        <v/>
      </c>
      <c r="H18" s="64" t="str">
        <f>IF(CONTROLLO!$B$13="SI", "",_xlfn.LET(_xlpm.v, _xlfn.XLOOKUP('Calcolo PBLS'!$G3, Valutazioni!$A$2:$A$20, Valutazioni!$D$2:$D$20, ""),IF(AND('Calcolo PBLS'!$D3&lt;&gt;"", _xlpm.v&lt;&gt;"", 'Calcolo PBLS'!$D3=_xlpm.v), "X", "")))</f>
        <v/>
      </c>
      <c r="I18" s="64" t="str">
        <f>IF(CONTROLLO!$B$13="SI", "",_xlfn.LET(_xlpm.v, _xlfn.XLOOKUP('Calcolo PBLS'!$G3, Valutazioni!$A$2:$A$20, Valutazioni!$E$2:$E$20, ""),IF(AND('Calcolo PBLS'!$D3&lt;&gt;"", _xlpm.v&lt;&gt;"", 'Calcolo PBLS'!$D3=_xlpm.v), "X", "")))</f>
        <v/>
      </c>
      <c r="J18" s="66" t="str">
        <f>IF(CONTROLLO!$B$13="SI", "",_xlfn.LET(_xlpm.v, _xlfn.XLOOKUP('Calcolo PBLS'!$G3, Valutazioni!$A$2:$A$20, Valutazioni!$F$2:$F$20, ""),IF(AND('Calcolo PBLS'!$D3&lt;&gt;"", _xlpm.v&lt;&gt;"", 'Calcolo PBLS'!$D3=_xlpm.v), "X", "")))</f>
        <v/>
      </c>
    </row>
    <row r="19" spans="1:10" ht="14.45" customHeight="1">
      <c r="A19" s="139" t="str">
        <f>'Calcolo PBLS'!F4</f>
        <v>rende sicura la scena</v>
      </c>
      <c r="B19" s="139"/>
      <c r="C19" s="139"/>
      <c r="D19" s="139"/>
      <c r="E19" s="139"/>
      <c r="F19" s="64" t="str">
        <f>IF(CONTROLLO!$B$13="SI", "",_xlfn.LET(_xlpm.v, _xlfn.XLOOKUP('Calcolo PBLS'!$G4, Valutazioni!$A$2:$A$20, Valutazioni!$B$2:$B$20, ""),IF(AND('Calcolo PBLS'!$D4&lt;&gt;"", _xlpm.v&lt;&gt;"", 'Calcolo PBLS'!$D4=_xlpm.v), "X", "")))</f>
        <v/>
      </c>
      <c r="G19" s="64" t="str">
        <f>IF(CONTROLLO!$B$13="SI", "",_xlfn.LET(_xlpm.v, _xlfn.XLOOKUP('Calcolo PBLS'!$G4, Valutazioni!$A$2:$A$20, Valutazioni!$C$2:$C$20, ""),IF(AND('Calcolo PBLS'!$D4&lt;&gt;"", _xlpm.v&lt;&gt;"", 'Calcolo PBLS'!$D4=_xlpm.v), "X", "")))</f>
        <v/>
      </c>
      <c r="H19" s="64" t="str">
        <f>IF(CONTROLLO!$B$13="SI", "",_xlfn.LET(_xlpm.v, _xlfn.XLOOKUP('Calcolo PBLS'!$G4, Valutazioni!$A$2:$A$20, Valutazioni!$D$2:$D$20, ""),IF(AND('Calcolo PBLS'!$D4&lt;&gt;"", _xlpm.v&lt;&gt;"", 'Calcolo PBLS'!$D4=_xlpm.v), "X", "")))</f>
        <v/>
      </c>
      <c r="I19" s="64" t="str">
        <f>IF(CONTROLLO!$B$13="SI", "",_xlfn.LET(_xlpm.v, _xlfn.XLOOKUP('Calcolo PBLS'!$G4, Valutazioni!$A$2:$A$20, Valutazioni!$E$2:$E$20, ""),IF(AND('Calcolo PBLS'!$D4&lt;&gt;"", _xlpm.v&lt;&gt;"", 'Calcolo PBLS'!$D4=_xlpm.v), "X", "")))</f>
        <v/>
      </c>
      <c r="J19" s="66" t="str">
        <f>IF(CONTROLLO!$B$13="SI", "",_xlfn.LET(_xlpm.v, _xlfn.XLOOKUP('Calcolo PBLS'!$G4, Valutazioni!$A$2:$A$20, Valutazioni!$F$2:$F$20, ""),IF(AND('Calcolo PBLS'!$D4&lt;&gt;"", _xlpm.v&lt;&gt;"", 'Calcolo PBLS'!$D4=_xlpm.v), "X", "")))</f>
        <v/>
      </c>
    </row>
    <row r="20" spans="1:10" ht="14.45" customHeight="1">
      <c r="A20" s="139" t="str">
        <f>'Calcolo PBLS'!F5</f>
        <v>si presenta come soccorritore</v>
      </c>
      <c r="B20" s="139"/>
      <c r="C20" s="139"/>
      <c r="D20" s="139"/>
      <c r="E20" s="139"/>
      <c r="F20" s="64" t="str">
        <f>IF(CONTROLLO!$B$13="SI", "",_xlfn.LET(_xlpm.v, _xlfn.XLOOKUP('Calcolo PBLS'!$G5, Valutazioni!$A$2:$A$20, Valutazioni!$B$2:$B$20, ""),IF(AND('Calcolo PBLS'!$D5&lt;&gt;"", _xlpm.v&lt;&gt;"", 'Calcolo PBLS'!$D5=_xlpm.v), "X", "")))</f>
        <v/>
      </c>
      <c r="G20" s="64" t="str">
        <f>IF(CONTROLLO!$B$13="SI", "",_xlfn.LET(_xlpm.v, _xlfn.XLOOKUP('Calcolo PBLS'!$G5, Valutazioni!$A$2:$A$20, Valutazioni!$C$2:$C$20, ""),IF(AND('Calcolo PBLS'!$D5&lt;&gt;"", _xlpm.v&lt;&gt;"", 'Calcolo PBLS'!$D5=_xlpm.v), "X", "")))</f>
        <v/>
      </c>
      <c r="H20" s="64" t="str">
        <f>IF(CONTROLLO!$B$13="SI", "",_xlfn.LET(_xlpm.v, _xlfn.XLOOKUP('Calcolo PBLS'!$G5, Valutazioni!$A$2:$A$20, Valutazioni!$D$2:$D$20, ""),IF(AND('Calcolo PBLS'!$D5&lt;&gt;"", _xlpm.v&lt;&gt;"", 'Calcolo PBLS'!$D5=_xlpm.v), "X", "")))</f>
        <v/>
      </c>
      <c r="I20" s="64" t="str">
        <f>IF(CONTROLLO!$B$13="SI", "",_xlfn.LET(_xlpm.v, _xlfn.XLOOKUP('Calcolo PBLS'!$G5, Valutazioni!$A$2:$A$20, Valutazioni!$E$2:$E$20, ""),IF(AND('Calcolo PBLS'!$D5&lt;&gt;"", _xlpm.v&lt;&gt;"", 'Calcolo PBLS'!$D5=_xlpm.v), "X", "")))</f>
        <v/>
      </c>
      <c r="J20" s="66" t="str">
        <f>IF(CONTROLLO!$B$13="SI", "",_xlfn.LET(_xlpm.v, _xlfn.XLOOKUP('Calcolo PBLS'!$G5, Valutazioni!$A$2:$A$20, Valutazioni!$F$2:$F$20, ""),IF(AND('Calcolo PBLS'!$D5&lt;&gt;"", _xlpm.v&lt;&gt;"", 'Calcolo PBLS'!$D5=_xlpm.v), "X", "")))</f>
        <v/>
      </c>
    </row>
    <row r="21" spans="1:10" ht="14.45" customHeight="1">
      <c r="A21" s="139" t="str">
        <f>'Calcolo PBLS'!F6</f>
        <v>parla con la persona/astanti  informandosi sull’accaduto</v>
      </c>
      <c r="B21" s="139"/>
      <c r="C21" s="139"/>
      <c r="D21" s="139"/>
      <c r="E21" s="139"/>
      <c r="F21" s="64" t="str">
        <f>IF(CONTROLLO!$B$13="SI", "",_xlfn.LET(_xlpm.v, _xlfn.XLOOKUP('Calcolo PBLS'!$G6, Valutazioni!$A$2:$A$20, Valutazioni!$B$2:$B$20, ""),IF(AND('Calcolo PBLS'!$D6&lt;&gt;"", _xlpm.v&lt;&gt;"", 'Calcolo PBLS'!$D6=_xlpm.v), "X", "")))</f>
        <v/>
      </c>
      <c r="G21" s="64" t="str">
        <f>IF(CONTROLLO!$B$13="SI", "",_xlfn.LET(_xlpm.v, _xlfn.XLOOKUP('Calcolo PBLS'!$G6, Valutazioni!$A$2:$A$20, Valutazioni!$C$2:$C$20, ""),IF(AND('Calcolo PBLS'!$D6&lt;&gt;"", _xlpm.v&lt;&gt;"", 'Calcolo PBLS'!$D6=_xlpm.v), "X", "")))</f>
        <v/>
      </c>
      <c r="H21" s="64" t="str">
        <f>IF(CONTROLLO!$B$13="SI", "",_xlfn.LET(_xlpm.v, _xlfn.XLOOKUP('Calcolo PBLS'!$G6, Valutazioni!$A$2:$A$20, Valutazioni!$D$2:$D$20, ""),IF(AND('Calcolo PBLS'!$D6&lt;&gt;"", _xlpm.v&lt;&gt;"", 'Calcolo PBLS'!$D6=_xlpm.v), "X", "")))</f>
        <v/>
      </c>
      <c r="I21" s="64" t="str">
        <f>IF(CONTROLLO!$B$13="SI", "",_xlfn.LET(_xlpm.v, _xlfn.XLOOKUP('Calcolo PBLS'!$G6, Valutazioni!$A$2:$A$20, Valutazioni!$E$2:$E$20, ""),IF(AND('Calcolo PBLS'!$D6&lt;&gt;"", _xlpm.v&lt;&gt;"", 'Calcolo PBLS'!$D6=_xlpm.v), "X", "")))</f>
        <v/>
      </c>
      <c r="J21" s="66" t="str">
        <f>IF(CONTROLLO!$B$13="SI", "",_xlfn.LET(_xlpm.v, _xlfn.XLOOKUP('Calcolo PBLS'!$G6, Valutazioni!$A$2:$A$20, Valutazioni!$F$2:$F$20, ""),IF(AND('Calcolo PBLS'!$D6&lt;&gt;"", _xlpm.v&lt;&gt;"", 'Calcolo PBLS'!$D6=_xlpm.v), "X", "")))</f>
        <v/>
      </c>
    </row>
    <row r="22" spans="1:10" ht="14.45" customHeight="1">
      <c r="A22" s="139" t="str">
        <f>'Calcolo PBLS'!F7</f>
        <v>atteggiamento professionale (cortese ma determinato)</v>
      </c>
      <c r="B22" s="139"/>
      <c r="C22" s="139"/>
      <c r="D22" s="139"/>
      <c r="E22" s="139"/>
      <c r="F22" s="64" t="str">
        <f>IF(CONTROLLO!$B$13="SI", "",_xlfn.LET(_xlpm.v, _xlfn.XLOOKUP('Calcolo PBLS'!$G7, Valutazioni!$A$2:$A$20, Valutazioni!$B$2:$B$20, ""),IF(AND('Calcolo PBLS'!$D7&lt;&gt;"", _xlpm.v&lt;&gt;"", 'Calcolo PBLS'!$D7=_xlpm.v), "X", "")))</f>
        <v/>
      </c>
      <c r="G22" s="64" t="str">
        <f>IF(CONTROLLO!$B$13="SI", "",_xlfn.LET(_xlpm.v, _xlfn.XLOOKUP('Calcolo PBLS'!$G7, Valutazioni!$A$2:$A$20, Valutazioni!$C$2:$C$20, ""),IF(AND('Calcolo PBLS'!$D7&lt;&gt;"", _xlpm.v&lt;&gt;"", 'Calcolo PBLS'!$D7=_xlpm.v), "X", "")))</f>
        <v/>
      </c>
      <c r="H22" s="64" t="str">
        <f>IF(CONTROLLO!$B$13="SI", "",_xlfn.LET(_xlpm.v, _xlfn.XLOOKUP('Calcolo PBLS'!$G7, Valutazioni!$A$2:$A$20, Valutazioni!$D$2:$D$20, ""),IF(AND('Calcolo PBLS'!$D7&lt;&gt;"", _xlpm.v&lt;&gt;"", 'Calcolo PBLS'!$D7=_xlpm.v), "X", "")))</f>
        <v/>
      </c>
      <c r="I22" s="64" t="str">
        <f>IF(CONTROLLO!$B$13="SI", "",_xlfn.LET(_xlpm.v, _xlfn.XLOOKUP('Calcolo PBLS'!$G7, Valutazioni!$A$2:$A$20, Valutazioni!$E$2:$E$20, ""),IF(AND('Calcolo PBLS'!$D7&lt;&gt;"", _xlpm.v&lt;&gt;"", 'Calcolo PBLS'!$D7=_xlpm.v), "X", "")))</f>
        <v/>
      </c>
      <c r="J22" s="66" t="str">
        <f>IF(CONTROLLO!$B$13="SI", "",_xlfn.LET(_xlpm.v, _xlfn.XLOOKUP('Calcolo PBLS'!$G7, Valutazioni!$A$2:$A$20, Valutazioni!$F$2:$F$20, ""),IF(AND('Calcolo PBLS'!$D7&lt;&gt;"", _xlpm.v&lt;&gt;"", 'Calcolo PBLS'!$D7=_xlpm.v), "X", "")))</f>
        <v/>
      </c>
    </row>
    <row r="23" spans="1:10" ht="14.45" customHeight="1">
      <c r="A23" s="141" t="str">
        <f>'Calcolo PBLS'!F8</f>
        <v>MISURE DI PRIMO SOCCORSO</v>
      </c>
      <c r="B23" s="141"/>
      <c r="C23" s="141"/>
      <c r="D23" s="141"/>
      <c r="E23" s="141"/>
      <c r="F23" s="64" t="str">
        <f>IF(CONTROLLO!$B$13="SI", "",_xlfn.LET(_xlpm.v, _xlfn.XLOOKUP('Calcolo PBLS'!$G8, Valutazioni!$A$2:$A$20, Valutazioni!$B$2:$B$20, ""),IF(AND('Calcolo PBLS'!$D8&lt;&gt;"", _xlpm.v&lt;&gt;"", 'Calcolo PBLS'!$D8=_xlpm.v), "X", "")))</f>
        <v/>
      </c>
      <c r="G23" s="64" t="str">
        <f>IF(CONTROLLO!$B$13="SI", "",_xlfn.LET(_xlpm.v, _xlfn.XLOOKUP('Calcolo PBLS'!$G8, Valutazioni!$A$2:$A$20, Valutazioni!$C$2:$C$20, ""),IF(AND('Calcolo PBLS'!$D8&lt;&gt;"", _xlpm.v&lt;&gt;"", 'Calcolo PBLS'!$D8=_xlpm.v), "X", "")))</f>
        <v/>
      </c>
      <c r="H23" s="64" t="str">
        <f>IF(CONTROLLO!$B$13="SI", "",_xlfn.LET(_xlpm.v, _xlfn.XLOOKUP('Calcolo PBLS'!$G8, Valutazioni!$A$2:$A$20, Valutazioni!$D$2:$D$20, ""),IF(AND('Calcolo PBLS'!$D8&lt;&gt;"", _xlpm.v&lt;&gt;"", 'Calcolo PBLS'!$D8=_xlpm.v), "X", "")))</f>
        <v/>
      </c>
      <c r="I23" s="64" t="str">
        <f>IF(CONTROLLO!$B$13="SI", "",_xlfn.LET(_xlpm.v, _xlfn.XLOOKUP('Calcolo PBLS'!$G8, Valutazioni!$A$2:$A$20, Valutazioni!$E$2:$E$20, ""),IF(AND('Calcolo PBLS'!$D8&lt;&gt;"", _xlpm.v&lt;&gt;"", 'Calcolo PBLS'!$D8=_xlpm.v), "X", "")))</f>
        <v/>
      </c>
      <c r="J23" s="66" t="str">
        <f>IF(CONTROLLO!$B$13="SI", "",_xlfn.LET(_xlpm.v, _xlfn.XLOOKUP('Calcolo PBLS'!$G8, Valutazioni!$A$2:$A$20, Valutazioni!$F$2:$F$20, ""),IF(AND('Calcolo PBLS'!$D8&lt;&gt;"", _xlpm.v&lt;&gt;"", 'Calcolo PBLS'!$D8=_xlpm.v), "X", "")))</f>
        <v/>
      </c>
    </row>
    <row r="24" spans="1:10" ht="14.45" customHeight="1">
      <c r="A24" s="139" t="str">
        <f>'Calcolo PBLS'!F9</f>
        <v>valuta lo stato  della coscienza</v>
      </c>
      <c r="B24" s="139"/>
      <c r="C24" s="139"/>
      <c r="D24" s="139"/>
      <c r="E24" s="139"/>
      <c r="F24" s="64" t="str">
        <f>IF(CONTROLLO!$B$13="SI", "",_xlfn.LET(_xlpm.v, _xlfn.XLOOKUP('Calcolo PBLS'!$G9, Valutazioni!$A$2:$A$20, Valutazioni!$B$2:$B$20, ""),IF(AND('Calcolo PBLS'!$D9&lt;&gt;"", _xlpm.v&lt;&gt;"", 'Calcolo PBLS'!$D9=_xlpm.v), "X", "")))</f>
        <v/>
      </c>
      <c r="G24" s="64" t="str">
        <f>IF(CONTROLLO!$B$13="SI", "",_xlfn.LET(_xlpm.v, _xlfn.XLOOKUP('Calcolo PBLS'!$G9, Valutazioni!$A$2:$A$20, Valutazioni!$C$2:$C$20, ""),IF(AND('Calcolo PBLS'!$D9&lt;&gt;"", _xlpm.v&lt;&gt;"", 'Calcolo PBLS'!$D9=_xlpm.v), "X", "")))</f>
        <v/>
      </c>
      <c r="H24" s="64" t="str">
        <f>IF(CONTROLLO!$B$13="SI", "",_xlfn.LET(_xlpm.v, _xlfn.XLOOKUP('Calcolo PBLS'!$G9, Valutazioni!$A$2:$A$20, Valutazioni!$D$2:$D$20, ""),IF(AND('Calcolo PBLS'!$D9&lt;&gt;"", _xlpm.v&lt;&gt;"", 'Calcolo PBLS'!$D9=_xlpm.v), "X", "")))</f>
        <v/>
      </c>
      <c r="I24" s="64" t="str">
        <f>IF(CONTROLLO!$B$13="SI", "",_xlfn.LET(_xlpm.v, _xlfn.XLOOKUP('Calcolo PBLS'!$G9, Valutazioni!$A$2:$A$20, Valutazioni!$E$2:$E$20, ""),IF(AND('Calcolo PBLS'!$D9&lt;&gt;"", _xlpm.v&lt;&gt;"", 'Calcolo PBLS'!$D9=_xlpm.v), "X", "")))</f>
        <v/>
      </c>
      <c r="J24" s="66" t="str">
        <f>IF(CONTROLLO!$B$13="SI", "",_xlfn.LET(_xlpm.v, _xlfn.XLOOKUP('Calcolo PBLS'!$G9, Valutazioni!$A$2:$A$20, Valutazioni!$F$2:$F$20, ""),IF(AND('Calcolo PBLS'!$D9&lt;&gt;"", _xlpm.v&lt;&gt;"", 'Calcolo PBLS'!$D9=_xlpm.v), "X", "")))</f>
        <v/>
      </c>
    </row>
    <row r="25" spans="1:10" ht="14.45" customHeight="1">
      <c r="A25" s="139" t="str">
        <f>'Calcolo PBLS'!F10</f>
        <v>chiede aiuto/si informa sulla presenza di dae (presente)</v>
      </c>
      <c r="B25" s="139"/>
      <c r="C25" s="139"/>
      <c r="D25" s="139"/>
      <c r="E25" s="139"/>
      <c r="F25" s="64" t="str">
        <f>IF(CONTROLLO!$B$13="SI", "",_xlfn.LET(_xlpm.v, _xlfn.XLOOKUP('Calcolo PBLS'!$G10, Valutazioni!$A$2:$A$20, Valutazioni!$B$2:$B$20, ""),IF(AND('Calcolo PBLS'!$D10&lt;&gt;"", _xlpm.v&lt;&gt;"", 'Calcolo PBLS'!$D10=_xlpm.v), "X", "")))</f>
        <v/>
      </c>
      <c r="G25" s="64" t="str">
        <f>IF(CONTROLLO!$B$13="SI", "",_xlfn.LET(_xlpm.v, _xlfn.XLOOKUP('Calcolo PBLS'!$G10, Valutazioni!$A$2:$A$20, Valutazioni!$C$2:$C$20, ""),IF(AND('Calcolo PBLS'!$D10&lt;&gt;"", _xlpm.v&lt;&gt;"", 'Calcolo PBLS'!$D10=_xlpm.v), "X", "")))</f>
        <v/>
      </c>
      <c r="H25" s="64" t="str">
        <f>IF(CONTROLLO!$B$13="SI", "",_xlfn.LET(_xlpm.v, _xlfn.XLOOKUP('Calcolo PBLS'!$G10, Valutazioni!$A$2:$A$20, Valutazioni!$D$2:$D$20, ""),IF(AND('Calcolo PBLS'!$D10&lt;&gt;"", _xlpm.v&lt;&gt;"", 'Calcolo PBLS'!$D10=_xlpm.v), "X", "")))</f>
        <v/>
      </c>
      <c r="I25" s="64" t="str">
        <f>IF(CONTROLLO!$B$13="SI", "",_xlfn.LET(_xlpm.v, _xlfn.XLOOKUP('Calcolo PBLS'!$G10, Valutazioni!$A$2:$A$20, Valutazioni!$E$2:$E$20, ""),IF(AND('Calcolo PBLS'!$D10&lt;&gt;"", _xlpm.v&lt;&gt;"", 'Calcolo PBLS'!$D10=_xlpm.v), "X", "")))</f>
        <v/>
      </c>
      <c r="J25" s="66" t="str">
        <f>IF(CONTROLLO!$B$13="SI", "",_xlfn.LET(_xlpm.v, _xlfn.XLOOKUP('Calcolo PBLS'!$G10, Valutazioni!$A$2:$A$20, Valutazioni!$F$2:$F$20, ""),IF(AND('Calcolo PBLS'!$D10&lt;&gt;"", _xlpm.v&lt;&gt;"", 'Calcolo PBLS'!$D10=_xlpm.v), "X", "")))</f>
        <v/>
      </c>
    </row>
    <row r="26" spans="1:10" ht="14.45" customHeight="1">
      <c r="A26" s="139" t="str">
        <f>'Calcolo PBLS'!F11</f>
        <v>si posiziona in modo da garantire la sicurezza del DAE</v>
      </c>
      <c r="B26" s="139"/>
      <c r="C26" s="139"/>
      <c r="D26" s="139"/>
      <c r="E26" s="139"/>
      <c r="F26" s="64" t="str">
        <f>IF(CONTROLLO!$B$13="SI", "",_xlfn.LET(_xlpm.v, _xlfn.XLOOKUP('Calcolo PBLS'!$G11, Valutazioni!$A$2:$A$20, Valutazioni!$B$2:$B$20, ""),IF(AND('Calcolo PBLS'!$D11&lt;&gt;"", _xlpm.v&lt;&gt;"", 'Calcolo PBLS'!$D11=_xlpm.v), "X", "")))</f>
        <v/>
      </c>
      <c r="G26" s="64" t="str">
        <f>IF(CONTROLLO!$B$13="SI", "",_xlfn.LET(_xlpm.v, _xlfn.XLOOKUP('Calcolo PBLS'!$G11, Valutazioni!$A$2:$A$20, Valutazioni!$C$2:$C$20, ""),IF(AND('Calcolo PBLS'!$D11&lt;&gt;"", _xlpm.v&lt;&gt;"", 'Calcolo PBLS'!$D11=_xlpm.v), "X", "")))</f>
        <v/>
      </c>
      <c r="H26" s="64" t="str">
        <f>IF(CONTROLLO!$B$13="SI", "",_xlfn.LET(_xlpm.v, _xlfn.XLOOKUP('Calcolo PBLS'!$G11, Valutazioni!$A$2:$A$20, Valutazioni!$D$2:$D$20, ""),IF(AND('Calcolo PBLS'!$D11&lt;&gt;"", _xlpm.v&lt;&gt;"", 'Calcolo PBLS'!$D11=_xlpm.v), "X", "")))</f>
        <v/>
      </c>
      <c r="I26" s="64" t="str">
        <f>IF(CONTROLLO!$B$13="SI", "",_xlfn.LET(_xlpm.v, _xlfn.XLOOKUP('Calcolo PBLS'!$G11, Valutazioni!$A$2:$A$20, Valutazioni!$E$2:$E$20, ""),IF(AND('Calcolo PBLS'!$D11&lt;&gt;"", _xlpm.v&lt;&gt;"", 'Calcolo PBLS'!$D11=_xlpm.v), "X", "")))</f>
        <v/>
      </c>
      <c r="J26" s="66" t="str">
        <f>IF(CONTROLLO!$B$13="SI", "",_xlfn.LET(_xlpm.v, _xlfn.XLOOKUP('Calcolo PBLS'!$G11, Valutazioni!$A$2:$A$20, Valutazioni!$F$2:$F$20, ""),IF(AND('Calcolo PBLS'!$D11&lt;&gt;"", _xlpm.v&lt;&gt;"", 'Calcolo PBLS'!$D11=_xlpm.v), "X", "")))</f>
        <v/>
      </c>
    </row>
    <row r="27" spans="1:10" ht="14.45" customHeight="1">
      <c r="A27" s="139" t="str">
        <f>'Calcolo PBLS'!F12</f>
        <v>Posiziona su piano rigido e allinea il corpo</v>
      </c>
      <c r="B27" s="139"/>
      <c r="C27" s="139"/>
      <c r="D27" s="139"/>
      <c r="E27" s="139"/>
      <c r="F27" s="64" t="str">
        <f>IF(CONTROLLO!$B$13="SI", "",_xlfn.LET(_xlpm.v, _xlfn.XLOOKUP('Calcolo PBLS'!$G12, Valutazioni!$A$2:$A$20, Valutazioni!$B$2:$B$20, ""),IF(AND('Calcolo PBLS'!$D12&lt;&gt;"", _xlpm.v&lt;&gt;"", 'Calcolo PBLS'!$D12=_xlpm.v), "X", "")))</f>
        <v/>
      </c>
      <c r="G27" s="64" t="str">
        <f>IF(CONTROLLO!$B$13="SI", "",_xlfn.LET(_xlpm.v, _xlfn.XLOOKUP('Calcolo PBLS'!$G12, Valutazioni!$A$2:$A$20, Valutazioni!$C$2:$C$20, ""),IF(AND('Calcolo PBLS'!$D12&lt;&gt;"", _xlpm.v&lt;&gt;"", 'Calcolo PBLS'!$D12=_xlpm.v), "X", "")))</f>
        <v/>
      </c>
      <c r="H27" s="64" t="str">
        <f>IF(CONTROLLO!$B$13="SI", "",_xlfn.LET(_xlpm.v, _xlfn.XLOOKUP('Calcolo PBLS'!$G12, Valutazioni!$A$2:$A$20, Valutazioni!$D$2:$D$20, ""),IF(AND('Calcolo PBLS'!$D12&lt;&gt;"", _xlpm.v&lt;&gt;"", 'Calcolo PBLS'!$D12=_xlpm.v), "X", "")))</f>
        <v/>
      </c>
      <c r="I27" s="64" t="str">
        <f>IF(CONTROLLO!$B$13="SI", "",_xlfn.LET(_xlpm.v, _xlfn.XLOOKUP('Calcolo PBLS'!$G12, Valutazioni!$A$2:$A$20, Valutazioni!$E$2:$E$20, ""),IF(AND('Calcolo PBLS'!$D12&lt;&gt;"", _xlpm.v&lt;&gt;"", 'Calcolo PBLS'!$D12=_xlpm.v), "X", "")))</f>
        <v/>
      </c>
      <c r="J27" s="66" t="str">
        <f>IF(CONTROLLO!$B$13="SI", "",_xlfn.LET(_xlpm.v, _xlfn.XLOOKUP('Calcolo PBLS'!$G12, Valutazioni!$A$2:$A$20, Valutazioni!$F$2:$F$20, ""),IF(AND('Calcolo PBLS'!$D12&lt;&gt;"", _xlpm.v&lt;&gt;"", 'Calcolo PBLS'!$D12=_xlpm.v), "X", "")))</f>
        <v/>
      </c>
    </row>
    <row r="28" spans="1:10" ht="14.45" customHeight="1">
      <c r="A28" s="139" t="str">
        <f>'Calcolo PBLS'!F13</f>
        <v>Slaccia ciò che stringe e scopre torace e addome</v>
      </c>
      <c r="B28" s="139"/>
      <c r="C28" s="139"/>
      <c r="D28" s="139"/>
      <c r="E28" s="139"/>
      <c r="F28" s="64" t="str">
        <f>IF(CONTROLLO!$B$13="SI", "",_xlfn.LET(_xlpm.v, _xlfn.XLOOKUP('Calcolo PBLS'!$G13, Valutazioni!$A$2:$A$20, Valutazioni!$B$2:$B$20, ""),IF(AND('Calcolo PBLS'!$D13&lt;&gt;"", _xlpm.v&lt;&gt;"", 'Calcolo PBLS'!$D13=_xlpm.v), "X", "")))</f>
        <v/>
      </c>
      <c r="G28" s="64" t="str">
        <f>IF(CONTROLLO!$B$13="SI", "",_xlfn.LET(_xlpm.v, _xlfn.XLOOKUP('Calcolo PBLS'!$G13, Valutazioni!$A$2:$A$20, Valutazioni!$C$2:$C$20, ""),IF(AND('Calcolo PBLS'!$D13&lt;&gt;"", _xlpm.v&lt;&gt;"", 'Calcolo PBLS'!$D13=_xlpm.v), "X", "")))</f>
        <v/>
      </c>
      <c r="H28" s="64" t="str">
        <f>IF(CONTROLLO!$B$13="SI", "",_xlfn.LET(_xlpm.v, _xlfn.XLOOKUP('Calcolo PBLS'!$G13, Valutazioni!$A$2:$A$20, Valutazioni!$D$2:$D$20, ""),IF(AND('Calcolo PBLS'!$D13&lt;&gt;"", _xlpm.v&lt;&gt;"", 'Calcolo PBLS'!$D13=_xlpm.v), "X", "")))</f>
        <v/>
      </c>
      <c r="I28" s="64" t="str">
        <f>IF(CONTROLLO!$B$13="SI", "",_xlfn.LET(_xlpm.v, _xlfn.XLOOKUP('Calcolo PBLS'!$G13, Valutazioni!$A$2:$A$20, Valutazioni!$E$2:$E$20, ""),IF(AND('Calcolo PBLS'!$D13&lt;&gt;"", _xlpm.v&lt;&gt;"", 'Calcolo PBLS'!$D13=_xlpm.v), "X", "")))</f>
        <v/>
      </c>
      <c r="J28" s="66" t="str">
        <f>IF(CONTROLLO!$B$13="SI", "",_xlfn.LET(_xlpm.v, _xlfn.XLOOKUP('Calcolo PBLS'!$G13, Valutazioni!$A$2:$A$20, Valutazioni!$F$2:$F$20, ""),IF(AND('Calcolo PBLS'!$D13&lt;&gt;"", _xlpm.v&lt;&gt;"", 'Calcolo PBLS'!$D13=_xlpm.v), "X", "")))</f>
        <v/>
      </c>
    </row>
    <row r="29" spans="1:10" ht="14.45" customHeight="1">
      <c r="A29" s="139" t="str">
        <f>'Calcolo PBLS'!F14</f>
        <v>estende il capo</v>
      </c>
      <c r="B29" s="139"/>
      <c r="C29" s="139"/>
      <c r="D29" s="139"/>
      <c r="E29" s="139"/>
      <c r="F29" s="64" t="str">
        <f>IF(CONTROLLO!$B$13="SI", "",_xlfn.LET(_xlpm.v, _xlfn.XLOOKUP('Calcolo PBLS'!$G14, Valutazioni!$A$2:$A$20, Valutazioni!$B$2:$B$20, ""),IF(AND('Calcolo PBLS'!$D14&lt;&gt;"", _xlpm.v&lt;&gt;"", 'Calcolo PBLS'!$D14=_xlpm.v), "X", "")))</f>
        <v/>
      </c>
      <c r="G29" s="64" t="str">
        <f>IF(CONTROLLO!$B$13="SI", "",_xlfn.LET(_xlpm.v, _xlfn.XLOOKUP('Calcolo PBLS'!$G14, Valutazioni!$A$2:$A$20, Valutazioni!$C$2:$C$20, ""),IF(AND('Calcolo PBLS'!$D14&lt;&gt;"", _xlpm.v&lt;&gt;"", 'Calcolo PBLS'!$D14=_xlpm.v), "X", "")))</f>
        <v/>
      </c>
      <c r="H29" s="64" t="str">
        <f>IF(CONTROLLO!$B$13="SI", "",_xlfn.LET(_xlpm.v, _xlfn.XLOOKUP('Calcolo PBLS'!$G14, Valutazioni!$A$2:$A$20, Valutazioni!$D$2:$D$20, ""),IF(AND('Calcolo PBLS'!$D14&lt;&gt;"", _xlpm.v&lt;&gt;"", 'Calcolo PBLS'!$D14=_xlpm.v), "X", "")))</f>
        <v/>
      </c>
      <c r="I29" s="64" t="str">
        <f>IF(CONTROLLO!$B$13="SI", "",_xlfn.LET(_xlpm.v, _xlfn.XLOOKUP('Calcolo PBLS'!$G14, Valutazioni!$A$2:$A$20, Valutazioni!$E$2:$E$20, ""),IF(AND('Calcolo PBLS'!$D14&lt;&gt;"", _xlpm.v&lt;&gt;"", 'Calcolo PBLS'!$D14=_xlpm.v), "X", "")))</f>
        <v/>
      </c>
      <c r="J29" s="66" t="str">
        <f>IF(CONTROLLO!$B$13="SI", "",_xlfn.LET(_xlpm.v, _xlfn.XLOOKUP('Calcolo PBLS'!$G14, Valutazioni!$A$2:$A$20, Valutazioni!$F$2:$F$20, ""),IF(AND('Calcolo PBLS'!$D14&lt;&gt;"", _xlpm.v&lt;&gt;"", 'Calcolo PBLS'!$D14=_xlpm.v), "X", "")))</f>
        <v/>
      </c>
    </row>
    <row r="30" spans="1:10" ht="14.45" customHeight="1">
      <c r="A30" s="139" t="str">
        <f>'Calcolo PBLS'!F15</f>
        <v>valuta respiro per 10 sec.</v>
      </c>
      <c r="B30" s="139"/>
      <c r="C30" s="139"/>
      <c r="D30" s="139"/>
      <c r="E30" s="139"/>
      <c r="F30" s="64" t="str">
        <f>IF(CONTROLLO!$B$13="SI", "",_xlfn.LET(_xlpm.v, _xlfn.XLOOKUP('Calcolo PBLS'!$G15, Valutazioni!$A$2:$A$20, Valutazioni!$B$2:$B$20, ""),IF(AND('Calcolo PBLS'!$D15&lt;&gt;"", _xlpm.v&lt;&gt;"", 'Calcolo PBLS'!$D15=_xlpm.v), "X", "")))</f>
        <v/>
      </c>
      <c r="G30" s="64" t="str">
        <f>IF(CONTROLLO!$B$13="SI", "",_xlfn.LET(_xlpm.v, _xlfn.XLOOKUP('Calcolo PBLS'!$G15, Valutazioni!$A$2:$A$20, Valutazioni!$C$2:$C$20, ""),IF(AND('Calcolo PBLS'!$D15&lt;&gt;"", _xlpm.v&lt;&gt;"", 'Calcolo PBLS'!$D15=_xlpm.v), "X", "")))</f>
        <v/>
      </c>
      <c r="H30" s="64" t="str">
        <f>IF(CONTROLLO!$B$13="SI", "",_xlfn.LET(_xlpm.v, _xlfn.XLOOKUP('Calcolo PBLS'!$G15, Valutazioni!$A$2:$A$20, Valutazioni!$D$2:$D$20, ""),IF(AND('Calcolo PBLS'!$D15&lt;&gt;"", _xlpm.v&lt;&gt;"", 'Calcolo PBLS'!$D15=_xlpm.v), "X", "")))</f>
        <v/>
      </c>
      <c r="I30" s="64" t="str">
        <f>IF(CONTROLLO!$B$13="SI", "",_xlfn.LET(_xlpm.v, _xlfn.XLOOKUP('Calcolo PBLS'!$G15, Valutazioni!$A$2:$A$20, Valutazioni!$E$2:$E$20, ""),IF(AND('Calcolo PBLS'!$D15&lt;&gt;"", _xlpm.v&lt;&gt;"", 'Calcolo PBLS'!$D15=_xlpm.v), "X", "")))</f>
        <v/>
      </c>
      <c r="J30" s="66" t="str">
        <f>IF(CONTROLLO!$B$13="SI", "",_xlfn.LET(_xlpm.v, _xlfn.XLOOKUP('Calcolo PBLS'!$G15, Valutazioni!$A$2:$A$20, Valutazioni!$F$2:$F$20, ""),IF(AND('Calcolo PBLS'!$D15&lt;&gt;"", _xlpm.v&lt;&gt;"", 'Calcolo PBLS'!$D15=_xlpm.v), "X", "")))</f>
        <v/>
      </c>
    </row>
    <row r="31" spans="1:10" ht="14.45" customHeight="1">
      <c r="A31" s="139" t="str">
        <f>'Calcolo PBLS'!F16</f>
        <v>eroga 5 ventilazioni efficaci</v>
      </c>
      <c r="B31" s="139"/>
      <c r="C31" s="139"/>
      <c r="D31" s="139"/>
      <c r="E31" s="139"/>
      <c r="F31" s="64" t="str">
        <f>IF(CONTROLLO!$B$13="SI", "",_xlfn.LET(_xlpm.v, _xlfn.XLOOKUP('Calcolo PBLS'!$G16, Valutazioni!$A$2:$A$20, Valutazioni!$B$2:$B$20, ""),IF(AND('Calcolo PBLS'!$D16&lt;&gt;"", _xlpm.v&lt;&gt;"", 'Calcolo PBLS'!$D16=_xlpm.v), "X", "")))</f>
        <v/>
      </c>
      <c r="G31" s="64" t="str">
        <f>IF(CONTROLLO!$B$13="SI", "",_xlfn.LET(_xlpm.v, _xlfn.XLOOKUP('Calcolo PBLS'!$G16, Valutazioni!$A$2:$A$20, Valutazioni!$C$2:$C$20, ""),IF(AND('Calcolo PBLS'!$D16&lt;&gt;"", _xlpm.v&lt;&gt;"", 'Calcolo PBLS'!$D16=_xlpm.v), "X", "")))</f>
        <v/>
      </c>
      <c r="H31" s="64" t="str">
        <f>IF(CONTROLLO!$B$13="SI", "",_xlfn.LET(_xlpm.v, _xlfn.XLOOKUP('Calcolo PBLS'!$G16, Valutazioni!$A$2:$A$20, Valutazioni!$D$2:$D$20, ""),IF(AND('Calcolo PBLS'!$D16&lt;&gt;"", _xlpm.v&lt;&gt;"", 'Calcolo PBLS'!$D16=_xlpm.v), "X", "")))</f>
        <v/>
      </c>
      <c r="I31" s="64" t="str">
        <f>IF(CONTROLLO!$B$13="SI", "",_xlfn.LET(_xlpm.v, _xlfn.XLOOKUP('Calcolo PBLS'!$G16, Valutazioni!$A$2:$A$20, Valutazioni!$E$2:$E$20, ""),IF(AND('Calcolo PBLS'!$D16&lt;&gt;"", _xlpm.v&lt;&gt;"", 'Calcolo PBLS'!$D16=_xlpm.v), "X", "")))</f>
        <v/>
      </c>
      <c r="J31" s="66" t="str">
        <f>IF(CONTROLLO!$B$13="SI", "",_xlfn.LET(_xlpm.v, _xlfn.XLOOKUP('Calcolo PBLS'!$G16, Valutazioni!$A$2:$A$20, Valutazioni!$F$2:$F$20, ""),IF(AND('Calcolo PBLS'!$D16&lt;&gt;"", _xlpm.v&lt;&gt;"", 'Calcolo PBLS'!$D16=_xlpm.v), "X", "")))</f>
        <v/>
      </c>
    </row>
    <row r="32" spans="1:10" ht="14.45" customHeight="1">
      <c r="A32" s="139" t="str">
        <f>'Calcolo PBLS'!F17</f>
        <v>valuta i segni di circolo per 10 sec.</v>
      </c>
      <c r="B32" s="139"/>
      <c r="C32" s="139"/>
      <c r="D32" s="139"/>
      <c r="E32" s="139"/>
      <c r="F32" s="64" t="str">
        <f>IF(CONTROLLO!$B$13="SI", "",_xlfn.LET(_xlpm.v, _xlfn.XLOOKUP('Calcolo PBLS'!$G17, Valutazioni!$A$2:$A$20, Valutazioni!$B$2:$B$20, ""),IF(AND('Calcolo PBLS'!$D17&lt;&gt;"", _xlpm.v&lt;&gt;"", 'Calcolo PBLS'!$D17=_xlpm.v), "X", "")))</f>
        <v/>
      </c>
      <c r="G32" s="64" t="str">
        <f>IF(CONTROLLO!$B$13="SI", "",_xlfn.LET(_xlpm.v, _xlfn.XLOOKUP('Calcolo PBLS'!$G17, Valutazioni!$A$2:$A$20, Valutazioni!$C$2:$C$20, ""),IF(AND('Calcolo PBLS'!$D17&lt;&gt;"", _xlpm.v&lt;&gt;"", 'Calcolo PBLS'!$D17=_xlpm.v), "X", "")))</f>
        <v/>
      </c>
      <c r="H32" s="64" t="str">
        <f>IF(CONTROLLO!$B$13="SI", "",_xlfn.LET(_xlpm.v, _xlfn.XLOOKUP('Calcolo PBLS'!$G17, Valutazioni!$A$2:$A$20, Valutazioni!$D$2:$D$20, ""),IF(AND('Calcolo PBLS'!$D17&lt;&gt;"", _xlpm.v&lt;&gt;"", 'Calcolo PBLS'!$D17=_xlpm.v), "X", "")))</f>
        <v/>
      </c>
      <c r="I32" s="64" t="str">
        <f>IF(CONTROLLO!$B$13="SI", "",_xlfn.LET(_xlpm.v, _xlfn.XLOOKUP('Calcolo PBLS'!$G17, Valutazioni!$A$2:$A$20, Valutazioni!$E$2:$E$20, ""),IF(AND('Calcolo PBLS'!$D17&lt;&gt;"", _xlpm.v&lt;&gt;"", 'Calcolo PBLS'!$D17=_xlpm.v), "X", "")))</f>
        <v/>
      </c>
      <c r="J32" s="66" t="str">
        <f>IF(CONTROLLO!$B$13="SI", "",_xlfn.LET(_xlpm.v, _xlfn.XLOOKUP('Calcolo PBLS'!$G17, Valutazioni!$A$2:$A$20, Valutazioni!$F$2:$F$20, ""),IF(AND('Calcolo PBLS'!$D17&lt;&gt;"", _xlpm.v&lt;&gt;"", 'Calcolo PBLS'!$D17=_xlpm.v), "X", "")))</f>
        <v/>
      </c>
    </row>
    <row r="33" spans="1:10" ht="14.45" customHeight="1">
      <c r="A33" s="139" t="str">
        <f>'Calcolo PBLS'!F18</f>
        <v>inizia RCP 30/2</v>
      </c>
      <c r="B33" s="139"/>
      <c r="C33" s="139"/>
      <c r="D33" s="139"/>
      <c r="E33" s="139"/>
      <c r="F33" s="64" t="str">
        <f>IF(CONTROLLO!$B$13="SI", "",_xlfn.LET(_xlpm.v, _xlfn.XLOOKUP('Calcolo PBLS'!$G18, Valutazioni!$A$2:$A$20, Valutazioni!$B$2:$B$20, ""),IF(AND('Calcolo PBLS'!$D18&lt;&gt;"", _xlpm.v&lt;&gt;"", 'Calcolo PBLS'!$D18=_xlpm.v), "X", "")))</f>
        <v/>
      </c>
      <c r="G33" s="64" t="str">
        <f>IF(CONTROLLO!$B$13="SI", "",_xlfn.LET(_xlpm.v, _xlfn.XLOOKUP('Calcolo PBLS'!$G18, Valutazioni!$A$2:$A$20, Valutazioni!$C$2:$C$20, ""),IF(AND('Calcolo PBLS'!$D18&lt;&gt;"", _xlpm.v&lt;&gt;"", 'Calcolo PBLS'!$D18=_xlpm.v), "X", "")))</f>
        <v/>
      </c>
      <c r="H33" s="64" t="str">
        <f>IF(CONTROLLO!$B$13="SI", "",_xlfn.LET(_xlpm.v, _xlfn.XLOOKUP('Calcolo PBLS'!$G18, Valutazioni!$A$2:$A$20, Valutazioni!$D$2:$D$20, ""),IF(AND('Calcolo PBLS'!$D18&lt;&gt;"", _xlpm.v&lt;&gt;"", 'Calcolo PBLS'!$D18=_xlpm.v), "X", "")))</f>
        <v/>
      </c>
      <c r="I33" s="64" t="str">
        <f>IF(CONTROLLO!$B$13="SI", "",_xlfn.LET(_xlpm.v, _xlfn.XLOOKUP('Calcolo PBLS'!$G18, Valutazioni!$A$2:$A$20, Valutazioni!$E$2:$E$20, ""),IF(AND('Calcolo PBLS'!$D18&lt;&gt;"", _xlpm.v&lt;&gt;"", 'Calcolo PBLS'!$D18=_xlpm.v), "X", "")))</f>
        <v/>
      </c>
      <c r="J33" s="66" t="str">
        <f>IF(CONTROLLO!$B$13="SI", "",_xlfn.LET(_xlpm.v, _xlfn.XLOOKUP('Calcolo PBLS'!$G18, Valutazioni!$A$2:$A$20, Valutazioni!$F$2:$F$20, ""),IF(AND('Calcolo PBLS'!$D18&lt;&gt;"", _xlpm.v&lt;&gt;"", 'Calcolo PBLS'!$D18=_xlpm.v), "X", "")))</f>
        <v/>
      </c>
    </row>
    <row r="34" spans="1:10" ht="14.45" customHeight="1">
      <c r="A34" s="139" t="str">
        <f>'Calcolo PBLS'!F19</f>
        <v>frequenza e profondità delle compressioni toraciche</v>
      </c>
      <c r="B34" s="139"/>
      <c r="C34" s="139"/>
      <c r="D34" s="139"/>
      <c r="E34" s="139"/>
      <c r="F34" s="64" t="str">
        <f>IF(CONTROLLO!$B$13="SI", "",_xlfn.LET(_xlpm.v, _xlfn.XLOOKUP('Calcolo PBLS'!$G19, Valutazioni!$A$2:$A$20, Valutazioni!$B$2:$B$20, ""),IF(AND('Calcolo PBLS'!$D19&lt;&gt;"", _xlpm.v&lt;&gt;"", 'Calcolo PBLS'!$D19=_xlpm.v), "X", "")))</f>
        <v/>
      </c>
      <c r="G34" s="64" t="str">
        <f>IF(CONTROLLO!$B$13="SI", "",_xlfn.LET(_xlpm.v, _xlfn.XLOOKUP('Calcolo PBLS'!$G19, Valutazioni!$A$2:$A$20, Valutazioni!$C$2:$C$20, ""),IF(AND('Calcolo PBLS'!$D19&lt;&gt;"", _xlpm.v&lt;&gt;"", 'Calcolo PBLS'!$D19=_xlpm.v), "X", "")))</f>
        <v/>
      </c>
      <c r="H34" s="64" t="str">
        <f>IF(CONTROLLO!$B$13="SI", "",_xlfn.LET(_xlpm.v, _xlfn.XLOOKUP('Calcolo PBLS'!$G19, Valutazioni!$A$2:$A$20, Valutazioni!$D$2:$D$20, ""),IF(AND('Calcolo PBLS'!$D19&lt;&gt;"", _xlpm.v&lt;&gt;"", 'Calcolo PBLS'!$D19=_xlpm.v), "X", "")))</f>
        <v/>
      </c>
      <c r="I34" s="64" t="str">
        <f>IF(CONTROLLO!$B$13="SI", "",_xlfn.LET(_xlpm.v, _xlfn.XLOOKUP('Calcolo PBLS'!$G19, Valutazioni!$A$2:$A$20, Valutazioni!$E$2:$E$20, ""),IF(AND('Calcolo PBLS'!$D19&lt;&gt;"", _xlpm.v&lt;&gt;"", 'Calcolo PBLS'!$D19=_xlpm.v), "X", "")))</f>
        <v/>
      </c>
      <c r="J34" s="66" t="str">
        <f>IF(CONTROLLO!$B$13="SI", "",_xlfn.LET(_xlpm.v, _xlfn.XLOOKUP('Calcolo PBLS'!$G19, Valutazioni!$A$2:$A$20, Valutazioni!$F$2:$F$20, ""),IF(AND('Calcolo PBLS'!$D19&lt;&gt;"", _xlpm.v&lt;&gt;"", 'Calcolo PBLS'!$D19=_xlpm.v), "X", "")))</f>
        <v/>
      </c>
    </row>
    <row r="35" spans="1:10" ht="14.45" customHeight="1">
      <c r="A35" s="139" t="str">
        <f>'Calcolo PBLS'!F20</f>
        <v>si accerta dell’arrivo del soccorso organizzato (ambul. + autom.)</v>
      </c>
      <c r="B35" s="139"/>
      <c r="C35" s="139"/>
      <c r="D35" s="139"/>
      <c r="E35" s="139"/>
      <c r="F35" s="64" t="str">
        <f>IF(CONTROLLO!$B$13="SI", "",_xlfn.LET(_xlpm.v, _xlfn.XLOOKUP('Calcolo PBLS'!$G20, Valutazioni!$A$2:$A$20, Valutazioni!$B$2:$B$20, ""),IF(AND('Calcolo PBLS'!$D20&lt;&gt;"", _xlpm.v&lt;&gt;"", 'Calcolo PBLS'!$D20=_xlpm.v), "X", "")))</f>
        <v/>
      </c>
      <c r="G35" s="64" t="str">
        <f>IF(CONTROLLO!$B$13="SI", "",_xlfn.LET(_xlpm.v, _xlfn.XLOOKUP('Calcolo PBLS'!$G20, Valutazioni!$A$2:$A$20, Valutazioni!$C$2:$C$20, ""),IF(AND('Calcolo PBLS'!$D20&lt;&gt;"", _xlpm.v&lt;&gt;"", 'Calcolo PBLS'!$D20=_xlpm.v), "X", "")))</f>
        <v/>
      </c>
      <c r="H35" s="64" t="str">
        <f>IF(CONTROLLO!$B$13="SI", "",_xlfn.LET(_xlpm.v, _xlfn.XLOOKUP('Calcolo PBLS'!$G20, Valutazioni!$A$2:$A$20, Valutazioni!$D$2:$D$20, ""),IF(AND('Calcolo PBLS'!$D20&lt;&gt;"", _xlpm.v&lt;&gt;"", 'Calcolo PBLS'!$D20=_xlpm.v), "X", "")))</f>
        <v/>
      </c>
      <c r="I35" s="64" t="str">
        <f>IF(CONTROLLO!$B$13="SI", "",_xlfn.LET(_xlpm.v, _xlfn.XLOOKUP('Calcolo PBLS'!$G20, Valutazioni!$A$2:$A$20, Valutazioni!$E$2:$E$20, ""),IF(AND('Calcolo PBLS'!$D20&lt;&gt;"", _xlpm.v&lt;&gt;"", 'Calcolo PBLS'!$D20=_xlpm.v), "X", "")))</f>
        <v/>
      </c>
      <c r="J35" s="66" t="str">
        <f>IF(CONTROLLO!$B$13="SI", "",_xlfn.LET(_xlpm.v, _xlfn.XLOOKUP('Calcolo PBLS'!$G20, Valutazioni!$A$2:$A$20, Valutazioni!$F$2:$F$20, ""),IF(AND('Calcolo PBLS'!$D20&lt;&gt;"", _xlpm.v&lt;&gt;"", 'Calcolo PBLS'!$D20=_xlpm.v), "X", "")))</f>
        <v/>
      </c>
    </row>
    <row r="36" spans="1:10" ht="14.45" customHeight="1">
      <c r="A36" s="139" t="str">
        <f>'Calcolo PBLS'!F21</f>
        <v>accende il DAE e applica correttamente gli elettrodi</v>
      </c>
      <c r="B36" s="139"/>
      <c r="C36" s="139"/>
      <c r="D36" s="139"/>
      <c r="E36" s="139"/>
      <c r="F36" s="64" t="str">
        <f>IF(CONTROLLO!$B$13="SI", "",_xlfn.LET(_xlpm.v, _xlfn.XLOOKUP('Calcolo PBLS'!$G21, Valutazioni!$A$2:$A$20, Valutazioni!$B$2:$B$20, ""),IF(AND('Calcolo PBLS'!$D21&lt;&gt;"", _xlpm.v&lt;&gt;"", 'Calcolo PBLS'!$D21=_xlpm.v), "X", "")))</f>
        <v/>
      </c>
      <c r="G36" s="64" t="str">
        <f>IF(CONTROLLO!$B$13="SI", "",_xlfn.LET(_xlpm.v, _xlfn.XLOOKUP('Calcolo PBLS'!$G21, Valutazioni!$A$2:$A$20, Valutazioni!$C$2:$C$20, ""),IF(AND('Calcolo PBLS'!$D21&lt;&gt;"", _xlpm.v&lt;&gt;"", 'Calcolo PBLS'!$D21=_xlpm.v), "X", "")))</f>
        <v/>
      </c>
      <c r="H36" s="64" t="str">
        <f>IF(CONTROLLO!$B$13="SI", "",_xlfn.LET(_xlpm.v, _xlfn.XLOOKUP('Calcolo PBLS'!$G21, Valutazioni!$A$2:$A$20, Valutazioni!$D$2:$D$20, ""),IF(AND('Calcolo PBLS'!$D21&lt;&gt;"", _xlpm.v&lt;&gt;"", 'Calcolo PBLS'!$D21=_xlpm.v), "X", "")))</f>
        <v/>
      </c>
      <c r="I36" s="64" t="str">
        <f>IF(CONTROLLO!$B$13="SI", "",_xlfn.LET(_xlpm.v, _xlfn.XLOOKUP('Calcolo PBLS'!$G21, Valutazioni!$A$2:$A$20, Valutazioni!$E$2:$E$20, ""),IF(AND('Calcolo PBLS'!$D21&lt;&gt;"", _xlpm.v&lt;&gt;"", 'Calcolo PBLS'!$D21=_xlpm.v), "X", "")))</f>
        <v/>
      </c>
      <c r="J36" s="66" t="str">
        <f>IF(CONTROLLO!$B$13="SI", "",_xlfn.LET(_xlpm.v, _xlfn.XLOOKUP('Calcolo PBLS'!$G21, Valutazioni!$A$2:$A$20, Valutazioni!$F$2:$F$20, ""),IF(AND('Calcolo PBLS'!$D21&lt;&gt;"", _xlpm.v&lt;&gt;"", 'Calcolo PBLS'!$D21=_xlpm.v), "X", "")))</f>
        <v/>
      </c>
    </row>
    <row r="37" spans="1:10" ht="14.45" customHeight="1">
      <c r="A37" s="139" t="str">
        <f>'Calcolo PBLS'!F22</f>
        <v>interrompe l’RCP durante l’analisi</v>
      </c>
      <c r="B37" s="139"/>
      <c r="C37" s="139"/>
      <c r="D37" s="139"/>
      <c r="E37" s="139"/>
      <c r="F37" s="64" t="str">
        <f>IF(CONTROLLO!$B$13="SI", "",_xlfn.LET(_xlpm.v, _xlfn.XLOOKUP('Calcolo PBLS'!$G22, Valutazioni!$A$2:$A$20, Valutazioni!$B$2:$B$20, ""),IF(AND('Calcolo PBLS'!$D22&lt;&gt;"", _xlpm.v&lt;&gt;"", 'Calcolo PBLS'!$D22=_xlpm.v), "X", "")))</f>
        <v/>
      </c>
      <c r="G37" s="64" t="str">
        <f>IF(CONTROLLO!$B$13="SI", "",_xlfn.LET(_xlpm.v, _xlfn.XLOOKUP('Calcolo PBLS'!$G22, Valutazioni!$A$2:$A$20, Valutazioni!$C$2:$C$20, ""),IF(AND('Calcolo PBLS'!$D22&lt;&gt;"", _xlpm.v&lt;&gt;"", 'Calcolo PBLS'!$D22=_xlpm.v), "X", "")))</f>
        <v/>
      </c>
      <c r="H37" s="64" t="str">
        <f>IF(CONTROLLO!$B$13="SI", "",_xlfn.LET(_xlpm.v, _xlfn.XLOOKUP('Calcolo PBLS'!$G22, Valutazioni!$A$2:$A$20, Valutazioni!$D$2:$D$20, ""),IF(AND('Calcolo PBLS'!$D22&lt;&gt;"", _xlpm.v&lt;&gt;"", 'Calcolo PBLS'!$D22=_xlpm.v), "X", "")))</f>
        <v/>
      </c>
      <c r="I37" s="64" t="str">
        <f>IF(CONTROLLO!$B$13="SI", "",_xlfn.LET(_xlpm.v, _xlfn.XLOOKUP('Calcolo PBLS'!$G22, Valutazioni!$A$2:$A$20, Valutazioni!$E$2:$E$20, ""),IF(AND('Calcolo PBLS'!$D22&lt;&gt;"", _xlpm.v&lt;&gt;"", 'Calcolo PBLS'!$D22=_xlpm.v), "X", "")))</f>
        <v/>
      </c>
      <c r="J37" s="66" t="str">
        <f>IF(CONTROLLO!$B$13="SI", "",_xlfn.LET(_xlpm.v, _xlfn.XLOOKUP('Calcolo PBLS'!$G22, Valutazioni!$A$2:$A$20, Valutazioni!$F$2:$F$20, ""),IF(AND('Calcolo PBLS'!$D22&lt;&gt;"", _xlpm.v&lt;&gt;"", 'Calcolo PBLS'!$D22=_xlpm.v), "X", "")))</f>
        <v/>
      </c>
    </row>
    <row r="38" spans="1:10" ht="14.45" customHeight="1">
      <c r="A38" s="139" t="str">
        <f>'Calcolo PBLS'!F23</f>
        <v>Fa Sicurezza durante l'analisi</v>
      </c>
      <c r="B38" s="139"/>
      <c r="C38" s="139"/>
      <c r="D38" s="139"/>
      <c r="E38" s="139"/>
      <c r="F38" s="64" t="str">
        <f>IF(CONTROLLO!$B$13="SI", "",_xlfn.LET(_xlpm.v, _xlfn.XLOOKUP('Calcolo PBLS'!$G23, Valutazioni!$A$2:$A$20, Valutazioni!$B$2:$B$20, ""),IF(AND('Calcolo PBLS'!$D23&lt;&gt;"", _xlpm.v&lt;&gt;"", 'Calcolo PBLS'!$D23=_xlpm.v), "X", "")))</f>
        <v/>
      </c>
      <c r="G38" s="64" t="str">
        <f>IF(CONTROLLO!$B$13="SI", "",_xlfn.LET(_xlpm.v, _xlfn.XLOOKUP('Calcolo PBLS'!$G23, Valutazioni!$A$2:$A$20, Valutazioni!$C$2:$C$20, ""),IF(AND('Calcolo PBLS'!$D23&lt;&gt;"", _xlpm.v&lt;&gt;"", 'Calcolo PBLS'!$D23=_xlpm.v), "X", "")))</f>
        <v/>
      </c>
      <c r="H38" s="64" t="str">
        <f>IF(CONTROLLO!$B$13="SI", "",_xlfn.LET(_xlpm.v, _xlfn.XLOOKUP('Calcolo PBLS'!$G23, Valutazioni!$A$2:$A$20, Valutazioni!$D$2:$D$20, ""),IF(AND('Calcolo PBLS'!$D23&lt;&gt;"", _xlpm.v&lt;&gt;"", 'Calcolo PBLS'!$D23=_xlpm.v), "X", "")))</f>
        <v/>
      </c>
      <c r="I38" s="64" t="str">
        <f>IF(CONTROLLO!$B$13="SI", "",_xlfn.LET(_xlpm.v, _xlfn.XLOOKUP('Calcolo PBLS'!$G23, Valutazioni!$A$2:$A$20, Valutazioni!$E$2:$E$20, ""),IF(AND('Calcolo PBLS'!$D23&lt;&gt;"", _xlpm.v&lt;&gt;"", 'Calcolo PBLS'!$D23=_xlpm.v), "X", "")))</f>
        <v/>
      </c>
      <c r="J38" s="66" t="str">
        <f>IF(CONTROLLO!$B$13="SI", "",_xlfn.LET(_xlpm.v, _xlfn.XLOOKUP('Calcolo PBLS'!$G23, Valutazioni!$A$2:$A$20, Valutazioni!$F$2:$F$20, ""),IF(AND('Calcolo PBLS'!$D23&lt;&gt;"", _xlpm.v&lt;&gt;"", 'Calcolo PBLS'!$D23=_xlpm.v), "X", "")))</f>
        <v/>
      </c>
    </row>
    <row r="39" spans="1:10" ht="14.45" customHeight="1">
      <c r="A39" s="139" t="str">
        <f>'Calcolo PBLS'!F24</f>
        <v>Eroga lo shock in sicurezza</v>
      </c>
      <c r="B39" s="139"/>
      <c r="C39" s="139"/>
      <c r="D39" s="139"/>
      <c r="E39" s="139"/>
      <c r="F39" s="64" t="str">
        <f>IF(CONTROLLO!$B$13="SI", "",_xlfn.LET(_xlpm.v, _xlfn.XLOOKUP('Calcolo PBLS'!$G24, Valutazioni!$A$2:$A$20, Valutazioni!$B$2:$B$20, ""),IF(AND('Calcolo PBLS'!$D24&lt;&gt;"", _xlpm.v&lt;&gt;"", 'Calcolo PBLS'!$D24=_xlpm.v), "X", "")))</f>
        <v/>
      </c>
      <c r="G39" s="64" t="str">
        <f>IF(CONTROLLO!$B$13="SI", "",_xlfn.LET(_xlpm.v, _xlfn.XLOOKUP('Calcolo PBLS'!$G24, Valutazioni!$A$2:$A$20, Valutazioni!$C$2:$C$20, ""),IF(AND('Calcolo PBLS'!$D24&lt;&gt;"", _xlpm.v&lt;&gt;"", 'Calcolo PBLS'!$D24=_xlpm.v), "X", "")))</f>
        <v/>
      </c>
      <c r="H39" s="64" t="str">
        <f>IF(CONTROLLO!$B$13="SI", "",_xlfn.LET(_xlpm.v, _xlfn.XLOOKUP('Calcolo PBLS'!$G24, Valutazioni!$A$2:$A$20, Valutazioni!$D$2:$D$20, ""),IF(AND('Calcolo PBLS'!$D24&lt;&gt;"", _xlpm.v&lt;&gt;"", 'Calcolo PBLS'!$D24=_xlpm.v), "X", "")))</f>
        <v/>
      </c>
      <c r="I39" s="64" t="str">
        <f>IF(CONTROLLO!$B$13="SI", "",_xlfn.LET(_xlpm.v, _xlfn.XLOOKUP('Calcolo PBLS'!$G24, Valutazioni!$A$2:$A$20, Valutazioni!$E$2:$E$20, ""),IF(AND('Calcolo PBLS'!$D24&lt;&gt;"", _xlpm.v&lt;&gt;"", 'Calcolo PBLS'!$D24=_xlpm.v), "X", "")))</f>
        <v/>
      </c>
      <c r="J39" s="66" t="str">
        <f>IF(CONTROLLO!$B$13="SI", "",_xlfn.LET(_xlpm.v, _xlfn.XLOOKUP('Calcolo PBLS'!$G24, Valutazioni!$A$2:$A$20, Valutazioni!$F$2:$F$20, ""),IF(AND('Calcolo PBLS'!$D24&lt;&gt;"", _xlpm.v&lt;&gt;"", 'Calcolo PBLS'!$D24=_xlpm.v), "X", "")))</f>
        <v/>
      </c>
    </row>
    <row r="40" spans="1:10" ht="14.45" customHeight="1">
      <c r="A40" s="139" t="str">
        <f>'Calcolo PBLS'!F25</f>
        <v>riduce le interruzioni alle CTE al minimo</v>
      </c>
      <c r="B40" s="139"/>
      <c r="C40" s="139"/>
      <c r="D40" s="139"/>
      <c r="E40" s="139"/>
      <c r="F40" s="64" t="str">
        <f>IF(CONTROLLO!$B$13="SI", "",_xlfn.LET(_xlpm.v, _xlfn.XLOOKUP('Calcolo PBLS'!$G25, Valutazioni!$A$2:$A$20, Valutazioni!$B$2:$B$20, ""),IF(AND('Calcolo PBLS'!$D25&lt;&gt;"", _xlpm.v&lt;&gt;"", 'Calcolo PBLS'!$D25=_xlpm.v), "X", "")))</f>
        <v/>
      </c>
      <c r="G40" s="64" t="str">
        <f>IF(CONTROLLO!$B$13="SI", "",_xlfn.LET(_xlpm.v, _xlfn.XLOOKUP('Calcolo PBLS'!$G25, Valutazioni!$A$2:$A$20, Valutazioni!$C$2:$C$20, ""),IF(AND('Calcolo PBLS'!$D25&lt;&gt;"", _xlpm.v&lt;&gt;"", 'Calcolo PBLS'!$D25=_xlpm.v), "X", "")))</f>
        <v/>
      </c>
      <c r="H40" s="64" t="str">
        <f>IF(CONTROLLO!$B$13="SI", "",_xlfn.LET(_xlpm.v, _xlfn.XLOOKUP('Calcolo PBLS'!$G25, Valutazioni!$A$2:$A$20, Valutazioni!$D$2:$D$20, ""),IF(AND('Calcolo PBLS'!$D25&lt;&gt;"", _xlpm.v&lt;&gt;"", 'Calcolo PBLS'!$D25=_xlpm.v), "X", "")))</f>
        <v/>
      </c>
      <c r="I40" s="64" t="str">
        <f>IF(CONTROLLO!$B$13="SI", "",_xlfn.LET(_xlpm.v, _xlfn.XLOOKUP('Calcolo PBLS'!$G25, Valutazioni!$A$2:$A$20, Valutazioni!$E$2:$E$20, ""),IF(AND('Calcolo PBLS'!$D25&lt;&gt;"", _xlpm.v&lt;&gt;"", 'Calcolo PBLS'!$D25=_xlpm.v), "X", "")))</f>
        <v/>
      </c>
      <c r="J40" s="66" t="str">
        <f>IF(CONTROLLO!$B$13="SI", "",_xlfn.LET(_xlpm.v, _xlfn.XLOOKUP('Calcolo PBLS'!$G25, Valutazioni!$A$2:$A$20, Valutazioni!$F$2:$F$20, ""),IF(AND('Calcolo PBLS'!$D25&lt;&gt;"", _xlpm.v&lt;&gt;"", 'Calcolo PBLS'!$D25=_xlpm.v), "X", "")))</f>
        <v/>
      </c>
    </row>
    <row r="41" spans="1:10" ht="14.45" customHeight="1">
      <c r="A41" s="139" t="str">
        <f>'Calcolo PBLS'!F26</f>
        <v>non perde l’estensione del capo</v>
      </c>
      <c r="B41" s="139"/>
      <c r="C41" s="139"/>
      <c r="D41" s="139"/>
      <c r="E41" s="139"/>
      <c r="F41" s="64" t="str">
        <f>IF(CONTROLLO!$B$13="SI", "",_xlfn.LET(_xlpm.v, _xlfn.XLOOKUP('Calcolo PBLS'!$G26, Valutazioni!$A$2:$A$20, Valutazioni!$B$2:$B$20, ""),IF(AND('Calcolo PBLS'!$D26&lt;&gt;"", _xlpm.v&lt;&gt;"", 'Calcolo PBLS'!$D26=_xlpm.v), "X", "")))</f>
        <v/>
      </c>
      <c r="G41" s="64" t="str">
        <f>IF(CONTROLLO!$B$13="SI", "",_xlfn.LET(_xlpm.v, _xlfn.XLOOKUP('Calcolo PBLS'!$G26, Valutazioni!$A$2:$A$20, Valutazioni!$C$2:$C$20, ""),IF(AND('Calcolo PBLS'!$D26&lt;&gt;"", _xlpm.v&lt;&gt;"", 'Calcolo PBLS'!$D26=_xlpm.v), "X", "")))</f>
        <v/>
      </c>
      <c r="H41" s="64" t="str">
        <f>IF(CONTROLLO!$B$13="SI", "",_xlfn.LET(_xlpm.v, _xlfn.XLOOKUP('Calcolo PBLS'!$G26, Valutazioni!$A$2:$A$20, Valutazioni!$D$2:$D$20, ""),IF(AND('Calcolo PBLS'!$D26&lt;&gt;"", _xlpm.v&lt;&gt;"", 'Calcolo PBLS'!$D26=_xlpm.v), "X", "")))</f>
        <v/>
      </c>
      <c r="I41" s="64" t="str">
        <f>IF(CONTROLLO!$B$13="SI", "",_xlfn.LET(_xlpm.v, _xlfn.XLOOKUP('Calcolo PBLS'!$G26, Valutazioni!$A$2:$A$20, Valutazioni!$E$2:$E$20, ""),IF(AND('Calcolo PBLS'!$D26&lt;&gt;"", _xlpm.v&lt;&gt;"", 'Calcolo PBLS'!$D26=_xlpm.v), "X", "")))</f>
        <v/>
      </c>
      <c r="J41" s="66" t="str">
        <f>IF(CONTROLLO!$B$13="SI", "",_xlfn.LET(_xlpm.v, _xlfn.XLOOKUP('Calcolo PBLS'!$G26, Valutazioni!$A$2:$A$20, Valutazioni!$F$2:$F$20, ""),IF(AND('Calcolo PBLS'!$D26&lt;&gt;"", _xlpm.v&lt;&gt;"", 'Calcolo PBLS'!$D26=_xlpm.v), "X", "")))</f>
        <v/>
      </c>
    </row>
    <row r="42" spans="1:10" ht="14.45" customHeight="1">
      <c r="A42" s="57"/>
      <c r="B42" s="58"/>
      <c r="C42" s="58"/>
      <c r="D42" s="58"/>
      <c r="E42" s="58"/>
      <c r="F42" s="59"/>
      <c r="G42" s="59"/>
      <c r="H42" s="59"/>
      <c r="I42" s="59"/>
      <c r="J42" s="60"/>
    </row>
    <row r="43" spans="1:10" ht="14.45" customHeight="1">
      <c r="A43" s="123" t="s">
        <v>765</v>
      </c>
      <c r="B43" s="116"/>
      <c r="C43" s="117"/>
      <c r="D43" s="117"/>
      <c r="E43" s="117"/>
      <c r="F43" s="117"/>
      <c r="G43" s="118"/>
      <c r="H43" s="114" t="s">
        <v>766</v>
      </c>
      <c r="I43" s="150"/>
      <c r="J43" s="151"/>
    </row>
    <row r="44" spans="1:10" ht="14.45" customHeight="1">
      <c r="A44" s="124"/>
      <c r="B44" s="119"/>
      <c r="C44" s="120"/>
      <c r="D44" s="120"/>
      <c r="E44" s="120"/>
      <c r="F44" s="120"/>
      <c r="G44" s="120"/>
      <c r="H44" s="109"/>
      <c r="I44" s="152"/>
      <c r="J44" s="153"/>
    </row>
    <row r="45" spans="1:10">
      <c r="A45" s="124"/>
      <c r="B45" s="119"/>
      <c r="C45" s="120"/>
      <c r="D45" s="120"/>
      <c r="E45" s="120"/>
      <c r="F45" s="120"/>
      <c r="G45" s="120"/>
      <c r="H45" s="154"/>
      <c r="I45" s="144"/>
      <c r="J45" s="155"/>
    </row>
    <row r="46" spans="1:10">
      <c r="A46" s="125"/>
      <c r="B46" s="121"/>
      <c r="C46" s="122"/>
      <c r="D46" s="122"/>
      <c r="E46" s="122"/>
      <c r="F46" s="122"/>
      <c r="G46" s="122"/>
      <c r="H46" s="148"/>
      <c r="I46" s="149"/>
      <c r="J46" s="156"/>
    </row>
    <row r="47" spans="1:10">
      <c r="A47" s="103" t="s">
        <v>768</v>
      </c>
      <c r="B47" s="104"/>
      <c r="C47" s="104"/>
      <c r="D47" s="104"/>
      <c r="E47" s="104"/>
      <c r="F47" s="104"/>
      <c r="G47" s="104"/>
      <c r="H47" s="105"/>
      <c r="I47" s="105"/>
      <c r="J47" s="106"/>
    </row>
  </sheetData>
  <mergeCells count="47">
    <mergeCell ref="C1:H2"/>
    <mergeCell ref="C3:H4"/>
    <mergeCell ref="C5:H6"/>
    <mergeCell ref="A27:E27"/>
    <mergeCell ref="A28:E28"/>
    <mergeCell ref="A25:E25"/>
    <mergeCell ref="A26:E26"/>
    <mergeCell ref="F9:F10"/>
    <mergeCell ref="G9:J10"/>
    <mergeCell ref="A12:E13"/>
    <mergeCell ref="F12:F13"/>
    <mergeCell ref="G12:G13"/>
    <mergeCell ref="H12:H13"/>
    <mergeCell ref="I12:I13"/>
    <mergeCell ref="J12:J13"/>
    <mergeCell ref="A9:B10"/>
    <mergeCell ref="A29:E29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20:E20"/>
    <mergeCell ref="A21:E21"/>
    <mergeCell ref="A22:E22"/>
    <mergeCell ref="A23:E23"/>
    <mergeCell ref="A24:E24"/>
    <mergeCell ref="A11:B11"/>
    <mergeCell ref="C11:E11"/>
    <mergeCell ref="C9:D9"/>
    <mergeCell ref="C10:D10"/>
    <mergeCell ref="A47:J47"/>
    <mergeCell ref="A40:E40"/>
    <mergeCell ref="A41:E41"/>
    <mergeCell ref="A15:E16"/>
    <mergeCell ref="H43:J43"/>
    <mergeCell ref="H44:J46"/>
    <mergeCell ref="B43:G46"/>
    <mergeCell ref="A43:A46"/>
    <mergeCell ref="A17:E17"/>
    <mergeCell ref="A18:E18"/>
    <mergeCell ref="A30:E30"/>
    <mergeCell ref="A19:E19"/>
  </mergeCells>
  <pageMargins left="0.23622047244094499" right="0.23622047244094499" top="0.23622047244094499" bottom="0.23622047244094499" header="0.31496062992126" footer="0"/>
  <pageSetup paperSize="9" scale="96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BD304EFB-8733-44B5-B1D7-887F98B9A361}">
            <xm:f>OR('Calcolo PBLS'!$A2="",   IFERROR(INDEX(Valutazioni!$B$2:$B$20,       MATCH('Calcolo PBLS'!$G2,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F17:F41</xm:sqref>
        </x14:conditionalFormatting>
        <x14:conditionalFormatting xmlns:xm="http://schemas.microsoft.com/office/excel/2006/main">
          <x14:cfRule type="expression" priority="4" id="{465EB17A-70CB-44E0-B55E-5D104B73E379}">
            <xm:f>OR('Calcolo PBLS'!$A2="",   IFERROR(INDEX(Valutazioni!$C$2:$C$20,       MATCH('Calcolo PBLS'!$G2,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G17:G41</xm:sqref>
        </x14:conditionalFormatting>
        <x14:conditionalFormatting xmlns:xm="http://schemas.microsoft.com/office/excel/2006/main">
          <x14:cfRule type="expression" priority="3" id="{B0E12B1E-D948-4292-8447-347EF5F7428F}">
            <xm:f>OR('Calcolo PBLS'!$A2="",   IFERROR(INDEX(Valutazioni!$D$2:$D$20,       MATCH('Calcolo PBLS'!$G2,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H17:H41</xm:sqref>
        </x14:conditionalFormatting>
        <x14:conditionalFormatting xmlns:xm="http://schemas.microsoft.com/office/excel/2006/main">
          <x14:cfRule type="expression" priority="2" id="{17CC15BF-C8A4-442E-9062-108A7083001A}">
            <xm:f>OR('Calcolo PBLS'!$A2="",   IFERROR(INDEX(Valutazioni!$E$2:$E$20,       MATCH('Calcolo PBLS'!$G2,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I17:I41</xm:sqref>
        </x14:conditionalFormatting>
        <x14:conditionalFormatting xmlns:xm="http://schemas.microsoft.com/office/excel/2006/main">
          <x14:cfRule type="expression" priority="1" id="{A5565891-A433-4C7A-8229-307C81F18410}">
            <xm:f>OR('Calcolo PBLS'!$A2="",   IFERROR(INDEX(Valutazioni!$F$2:$F$20,       MATCH('Calcolo PBLS'!$G2,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J17:J41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54"/>
  <sheetViews>
    <sheetView topLeftCell="A6" zoomScaleNormal="100" workbookViewId="0">
      <selection activeCell="A11" sqref="A11:E11"/>
    </sheetView>
  </sheetViews>
  <sheetFormatPr defaultColWidth="8.85546875" defaultRowHeight="14.45"/>
  <cols>
    <col min="1" max="2" width="9.42578125" customWidth="1"/>
    <col min="3" max="3" width="10.42578125" customWidth="1"/>
    <col min="4" max="4" width="15.5703125" customWidth="1"/>
    <col min="5" max="5" width="10.42578125" customWidth="1"/>
    <col min="6" max="10" width="9.42578125" customWidth="1"/>
  </cols>
  <sheetData>
    <row r="1" spans="1:10" ht="15">
      <c r="A1" s="61"/>
      <c r="B1" s="62"/>
      <c r="C1" s="93" t="s">
        <v>752</v>
      </c>
      <c r="D1" s="93"/>
      <c r="E1" s="93"/>
      <c r="F1" s="93"/>
      <c r="G1" s="93"/>
      <c r="H1" s="93"/>
      <c r="I1" s="62"/>
      <c r="J1" s="87"/>
    </row>
    <row r="2" spans="1:10" ht="15">
      <c r="A2" s="34"/>
      <c r="C2" s="94"/>
      <c r="D2" s="94"/>
      <c r="E2" s="94"/>
      <c r="F2" s="94"/>
      <c r="G2" s="94"/>
      <c r="H2" s="94"/>
      <c r="J2" s="36"/>
    </row>
    <row r="3" spans="1:10" ht="15">
      <c r="A3" s="34"/>
      <c r="C3" s="95" t="s">
        <v>753</v>
      </c>
      <c r="D3" s="95"/>
      <c r="E3" s="95"/>
      <c r="F3" s="95"/>
      <c r="G3" s="95"/>
      <c r="H3" s="95"/>
      <c r="J3" s="36"/>
    </row>
    <row r="4" spans="1:10" ht="15">
      <c r="A4" s="34"/>
      <c r="C4" s="95"/>
      <c r="D4" s="95"/>
      <c r="E4" s="95"/>
      <c r="F4" s="95"/>
      <c r="G4" s="95"/>
      <c r="H4" s="95"/>
      <c r="J4" s="36"/>
    </row>
    <row r="5" spans="1:10" ht="15">
      <c r="A5" s="34"/>
      <c r="C5" s="96" t="s">
        <v>754</v>
      </c>
      <c r="D5" s="96"/>
      <c r="E5" s="96"/>
      <c r="F5" s="96"/>
      <c r="G5" s="96"/>
      <c r="H5" s="96"/>
      <c r="J5" s="36"/>
    </row>
    <row r="6" spans="1:10" ht="15">
      <c r="A6" s="34"/>
      <c r="C6" s="96"/>
      <c r="D6" s="96"/>
      <c r="E6" s="96"/>
      <c r="F6" s="96"/>
      <c r="G6" s="96"/>
      <c r="H6" s="96"/>
      <c r="J6" s="36"/>
    </row>
    <row r="7" spans="1:10" ht="5.25" customHeight="1">
      <c r="A7" s="34"/>
      <c r="J7" s="36"/>
    </row>
    <row r="8" spans="1:10" ht="5.25" customHeight="1">
      <c r="A8" s="34"/>
      <c r="J8" s="36"/>
    </row>
    <row r="9" spans="1:10" ht="16.5" customHeight="1">
      <c r="A9" s="115" t="str">
        <f>ScenaAttiva &amp; TEXT(SquadraAttiva,"00")&amp; "02"</f>
        <v>A0302</v>
      </c>
      <c r="B9" s="115"/>
      <c r="C9" s="99" t="s">
        <v>715</v>
      </c>
      <c r="D9" s="100"/>
      <c r="E9" s="43" t="s">
        <v>661</v>
      </c>
      <c r="F9" s="110" t="s">
        <v>280</v>
      </c>
      <c r="G9" s="108" t="str">
        <f>IF(INDEX(tblSchede[Giudice],MATCH(2,tblSchede[SimulatoreCodice],0))="","",INDEX(tblSchede[Giudice],MATCH(2,tblSchede[SimulatoreCodice],0)))</f>
        <v/>
      </c>
      <c r="H9" s="146"/>
      <c r="I9" s="146"/>
      <c r="J9" s="146"/>
    </row>
    <row r="10" spans="1:10" ht="14.25" customHeight="1">
      <c r="A10" s="115"/>
      <c r="B10" s="115"/>
      <c r="C10" s="101" t="str">
        <f t="array" ref="C10">ScenaAttiva</f>
        <v>A</v>
      </c>
      <c r="D10" s="102"/>
      <c r="E10" s="51">
        <f>IF(INDEX(tblSchede[SimulatoreCodice],MATCH(2,tblSchede[SimulatoreCodice],0))="M","",INDEX(tblSchede[SimulatoreCodice],MATCH(2,tblSchede[SimulatoreCodice],0)))</f>
        <v>2</v>
      </c>
      <c r="F10" s="146"/>
      <c r="G10" s="147"/>
      <c r="H10" s="147"/>
      <c r="I10" s="147"/>
      <c r="J10" s="147"/>
    </row>
    <row r="11" spans="1:10" ht="14.25" customHeight="1">
      <c r="A11" s="97" t="s">
        <v>278</v>
      </c>
      <c r="B11" s="97"/>
      <c r="C11" s="98" t="str">
        <f>IFERROR(CONTROLLO!$B$8 &amp; "-" &amp; INDEX(tblSquadre[Squadra_Nome],MATCH(CONTROLLO!$B$8,tblSquadre[SquadraID],0)),"")</f>
        <v>3-Liguria 1</v>
      </c>
      <c r="D11" s="98"/>
      <c r="E11" s="98"/>
      <c r="G11" s="67" t="s">
        <v>663</v>
      </c>
      <c r="H11" s="67" t="s">
        <v>664</v>
      </c>
      <c r="I11" s="67" t="s">
        <v>665</v>
      </c>
      <c r="J11" s="67" t="s">
        <v>698</v>
      </c>
    </row>
    <row r="12" spans="1:10" ht="14.25" customHeight="1">
      <c r="A12" s="107" t="str">
        <f t="array" ref="A12">TitoloScenaAttivo</f>
        <v>Una Scuola Stupefacente</v>
      </c>
      <c r="B12" s="146"/>
      <c r="C12" s="146"/>
      <c r="D12" s="146"/>
      <c r="E12" s="146"/>
      <c r="F12" s="111" t="s">
        <v>767</v>
      </c>
      <c r="G12" s="111" t="str">
        <f>INDEX(tblSchede[Coscienza],MATCH(2,tblSchede[SimulatoreCodice],0))</f>
        <v>P</v>
      </c>
      <c r="H12" s="111">
        <f>INDEX(tblSchede[FR],MATCH(2,tblSchede[SimulatoreCodice],0))</f>
        <v>10</v>
      </c>
      <c r="I12" s="111">
        <f>INDEX(tblSchede[FC],MATCH(2,tblSchede[SimulatoreCodice],0))</f>
        <v>60</v>
      </c>
      <c r="J12" s="143" t="str">
        <f>INDEX(tblSchede[Cute],MATCH(2,tblSchede[SimulatoreCodice],0))</f>
        <v>Pallida, sudata</v>
      </c>
    </row>
    <row r="13" spans="1:10" ht="14.25" customHeight="1">
      <c r="A13" s="146"/>
      <c r="B13" s="146"/>
      <c r="C13" s="146"/>
      <c r="D13" s="146"/>
      <c r="E13" s="146"/>
      <c r="F13" s="146"/>
      <c r="G13" s="146"/>
      <c r="H13" s="146"/>
      <c r="I13" s="146"/>
      <c r="J13" s="146"/>
    </row>
    <row r="14" spans="1:10" ht="3" customHeight="1">
      <c r="A14" s="34"/>
      <c r="J14" s="36"/>
    </row>
    <row r="15" spans="1:10" ht="50.25" customHeight="1">
      <c r="A15" s="107" t="str">
        <f>INDEX(tblSchede[Patologia],MATCH(2,tblSchede[SimulatoreCodice],0))</f>
        <v>Overdose</v>
      </c>
      <c r="B15" s="146"/>
      <c r="C15" s="146"/>
      <c r="D15" s="146"/>
      <c r="E15" s="146"/>
      <c r="F15" s="44" t="s">
        <v>755</v>
      </c>
      <c r="G15" s="44" t="s">
        <v>756</v>
      </c>
      <c r="H15" s="45" t="s">
        <v>757</v>
      </c>
      <c r="I15" s="46" t="s">
        <v>758</v>
      </c>
      <c r="J15" s="46" t="s">
        <v>759</v>
      </c>
    </row>
    <row r="16" spans="1:10" ht="15.95" customHeight="1">
      <c r="A16" s="146"/>
      <c r="B16" s="146"/>
      <c r="C16" s="146"/>
      <c r="D16" s="146"/>
      <c r="E16" s="146"/>
      <c r="F16" s="47" t="s">
        <v>760</v>
      </c>
      <c r="G16" s="47" t="s">
        <v>761</v>
      </c>
      <c r="H16" s="48" t="s">
        <v>762</v>
      </c>
      <c r="I16" s="49" t="s">
        <v>763</v>
      </c>
      <c r="J16" s="49" t="s">
        <v>764</v>
      </c>
    </row>
    <row r="17" spans="1:10">
      <c r="A17" s="69" t="str">
        <f>'Calcolo Overdose'!F2</f>
        <v>COMPORTAMENTO SULLA SCENA</v>
      </c>
      <c r="B17" s="68"/>
      <c r="C17" s="68"/>
      <c r="D17" s="68"/>
      <c r="E17" s="68"/>
      <c r="F17" s="64" t="str">
        <f>IF(CONTROLLO!$B$13="SI", "",_xlfn.LET(_xlpm.v, _xlfn.XLOOKUP('Calcolo Overdose'!$G2, Valutazioni!$A$2:$A$20, Valutazioni!$B$2:$B$20, ""),IF(AND('Calcolo Overdose'!$D2&lt;&gt;"", _xlpm.v&lt;&gt;"", 'Calcolo Overdose'!$D2=_xlpm.v), "X", "")))</f>
        <v/>
      </c>
      <c r="G17" s="64" t="str">
        <f>IF(CONTROLLO!$B$13="SI", "",_xlfn.LET(_xlpm.v, _xlfn.XLOOKUP('Calcolo Overdose'!$G2, Valutazioni!$A$2:$A$20, Valutazioni!$C$2:$C$20, ""),IF(AND('Calcolo Overdose'!$D2&lt;&gt;"", _xlpm.v&lt;&gt;"", 'Calcolo Overdose'!$D2=_xlpm.v), "X", "")))</f>
        <v/>
      </c>
      <c r="H17" s="64" t="str">
        <f>IF(CONTROLLO!$B$13="SI", "",_xlfn.LET(_xlpm.v, _xlfn.XLOOKUP('Calcolo Overdose'!$G2, Valutazioni!$A$2:$A$20, Valutazioni!$D$2:$D$20, ""),IF(AND('Calcolo Overdose'!$D2&lt;&gt;"", _xlpm.v&lt;&gt;"", 'Calcolo Overdose'!$D2=_xlpm.v), "X", "")))</f>
        <v/>
      </c>
      <c r="I17" s="64" t="str">
        <f>IF(CONTROLLO!$B$13="SI", "",_xlfn.LET(_xlpm.v, _xlfn.XLOOKUP('Calcolo Overdose'!$G2, Valutazioni!$A$2:$A$20, Valutazioni!$E$2:$E$20, ""),IF(AND('Calcolo Overdose'!$D2&lt;&gt;"", _xlpm.v&lt;&gt;"", 'Calcolo Overdose'!$D2=_xlpm.v), "X", "")))</f>
        <v/>
      </c>
      <c r="J17" s="66" t="str">
        <f>IF(CONTROLLO!$B$13="SI", "",_xlfn.LET(_xlpm.v, _xlfn.XLOOKUP('Calcolo Overdose'!$G2, Valutazioni!$A$2:$A$20, Valutazioni!$F$2:$F$20, ""),IF(AND('Calcolo Overdose'!$D2&lt;&gt;"", _xlpm.v&lt;&gt;"", 'Calcolo Overdose'!$D2=_xlpm.v), "X", "")))</f>
        <v/>
      </c>
    </row>
    <row r="18" spans="1:10">
      <c r="A18" s="41" t="str">
        <f>'Calcolo Overdose'!F3</f>
        <v>Indossa  i D.P.I. In scena</v>
      </c>
      <c r="B18" s="12"/>
      <c r="C18" s="12"/>
      <c r="D18" s="12"/>
      <c r="E18" s="12"/>
      <c r="F18" s="64" t="str">
        <f>IF(CONTROLLO!$B$13="SI", "",_xlfn.LET(_xlpm.v, _xlfn.XLOOKUP('Calcolo Overdose'!$G3, Valutazioni!$A$2:$A$20, Valutazioni!$B$2:$B$20, ""),IF(AND('Calcolo Overdose'!$D3&lt;&gt;"", _xlpm.v&lt;&gt;"", 'Calcolo Overdose'!$D3=_xlpm.v), "X", "")))</f>
        <v/>
      </c>
      <c r="G18" s="64" t="str">
        <f>IF(CONTROLLO!$B$13="SI", "",_xlfn.LET(_xlpm.v, _xlfn.XLOOKUP('Calcolo Overdose'!$G3, Valutazioni!$A$2:$A$20, Valutazioni!$C$2:$C$20, ""),IF(AND('Calcolo Overdose'!$D3&lt;&gt;"", _xlpm.v&lt;&gt;"", 'Calcolo Overdose'!$D3=_xlpm.v), "X", "")))</f>
        <v/>
      </c>
      <c r="H18" s="64" t="str">
        <f>IF(CONTROLLO!$B$13="SI", "",_xlfn.LET(_xlpm.v, _xlfn.XLOOKUP('Calcolo Overdose'!$G3, Valutazioni!$A$2:$A$20, Valutazioni!$D$2:$D$20, ""),IF(AND('Calcolo Overdose'!$D3&lt;&gt;"", _xlpm.v&lt;&gt;"", 'Calcolo Overdose'!$D3=_xlpm.v), "X", "")))</f>
        <v/>
      </c>
      <c r="I18" s="64" t="str">
        <f>IF(CONTROLLO!$B$13="SI", "",_xlfn.LET(_xlpm.v, _xlfn.XLOOKUP('Calcolo Overdose'!$G3, Valutazioni!$A$2:$A$20, Valutazioni!$E$2:$E$20, ""),IF(AND('Calcolo Overdose'!$D3&lt;&gt;"", _xlpm.v&lt;&gt;"", 'Calcolo Overdose'!$D3=_xlpm.v), "X", "")))</f>
        <v/>
      </c>
      <c r="J18" s="66" t="str">
        <f>IF(CONTROLLO!$B$13="SI", "",_xlfn.LET(_xlpm.v, _xlfn.XLOOKUP('Calcolo Overdose'!$G3, Valutazioni!$A$2:$A$20, Valutazioni!$F$2:$F$20, ""),IF(AND('Calcolo Overdose'!$D3&lt;&gt;"", _xlpm.v&lt;&gt;"", 'Calcolo Overdose'!$D3=_xlpm.v), "X", "")))</f>
        <v/>
      </c>
    </row>
    <row r="19" spans="1:10">
      <c r="A19" s="41" t="str">
        <f>'Calcolo Overdose'!F4</f>
        <v>valuta i rischi</v>
      </c>
      <c r="B19" s="12"/>
      <c r="C19" s="12"/>
      <c r="D19" s="12"/>
      <c r="E19" s="12"/>
      <c r="F19" s="64" t="str">
        <f>IF(CONTROLLO!$B$13="SI", "",_xlfn.LET(_xlpm.v, _xlfn.XLOOKUP('Calcolo Overdose'!$G4, Valutazioni!$A$2:$A$20, Valutazioni!$B$2:$B$20, ""),IF(AND('Calcolo Overdose'!$D4&lt;&gt;"", _xlpm.v&lt;&gt;"", 'Calcolo Overdose'!$D4=_xlpm.v), "X", "")))</f>
        <v/>
      </c>
      <c r="G19" s="64" t="str">
        <f>IF(CONTROLLO!$B$13="SI", "",_xlfn.LET(_xlpm.v, _xlfn.XLOOKUP('Calcolo Overdose'!$G4, Valutazioni!$A$2:$A$20, Valutazioni!$C$2:$C$20, ""),IF(AND('Calcolo Overdose'!$D4&lt;&gt;"", _xlpm.v&lt;&gt;"", 'Calcolo Overdose'!$D4=_xlpm.v), "X", "")))</f>
        <v/>
      </c>
      <c r="H19" s="64" t="str">
        <f>IF(CONTROLLO!$B$13="SI", "",_xlfn.LET(_xlpm.v, _xlfn.XLOOKUP('Calcolo Overdose'!$G4, Valutazioni!$A$2:$A$20, Valutazioni!$D$2:$D$20, ""),IF(AND('Calcolo Overdose'!$D4&lt;&gt;"", _xlpm.v&lt;&gt;"", 'Calcolo Overdose'!$D4=_xlpm.v), "X", "")))</f>
        <v/>
      </c>
      <c r="I19" s="64" t="str">
        <f>IF(CONTROLLO!$B$13="SI", "",_xlfn.LET(_xlpm.v, _xlfn.XLOOKUP('Calcolo Overdose'!$G4, Valutazioni!$A$2:$A$20, Valutazioni!$E$2:$E$20, ""),IF(AND('Calcolo Overdose'!$D4&lt;&gt;"", _xlpm.v&lt;&gt;"", 'Calcolo Overdose'!$D4=_xlpm.v), "X", "")))</f>
        <v/>
      </c>
      <c r="J19" s="66" t="str">
        <f>IF(CONTROLLO!$B$13="SI", "",_xlfn.LET(_xlpm.v, _xlfn.XLOOKUP('Calcolo Overdose'!$G4, Valutazioni!$A$2:$A$20, Valutazioni!$F$2:$F$20, ""),IF(AND('Calcolo Overdose'!$D4&lt;&gt;"", _xlpm.v&lt;&gt;"", 'Calcolo Overdose'!$D4=_xlpm.v), "X", "")))</f>
        <v/>
      </c>
    </row>
    <row r="20" spans="1:10">
      <c r="A20" s="41" t="str">
        <f>'Calcolo Overdose'!F5</f>
        <v>Rende sicura la scena</v>
      </c>
      <c r="B20" s="12"/>
      <c r="C20" s="12"/>
      <c r="D20" s="12"/>
      <c r="E20" s="12"/>
      <c r="F20" s="64" t="str">
        <f>IF(CONTROLLO!$B$13="SI", "",_xlfn.LET(_xlpm.v, _xlfn.XLOOKUP('Calcolo Overdose'!$G5, Valutazioni!$A$2:$A$20, Valutazioni!$B$2:$B$20, ""),IF(AND('Calcolo Overdose'!$D5&lt;&gt;"", _xlpm.v&lt;&gt;"", 'Calcolo Overdose'!$D5=_xlpm.v), "X", "")))</f>
        <v/>
      </c>
      <c r="G20" s="64" t="str">
        <f>IF(CONTROLLO!$B$13="SI", "",_xlfn.LET(_xlpm.v, _xlfn.XLOOKUP('Calcolo Overdose'!$G5, Valutazioni!$A$2:$A$20, Valutazioni!$C$2:$C$20, ""),IF(AND('Calcolo Overdose'!$D5&lt;&gt;"", _xlpm.v&lt;&gt;"", 'Calcolo Overdose'!$D5=_xlpm.v), "X", "")))</f>
        <v/>
      </c>
      <c r="H20" s="64" t="str">
        <f>IF(CONTROLLO!$B$13="SI", "",_xlfn.LET(_xlpm.v, _xlfn.XLOOKUP('Calcolo Overdose'!$G5, Valutazioni!$A$2:$A$20, Valutazioni!$D$2:$D$20, ""),IF(AND('Calcolo Overdose'!$D5&lt;&gt;"", _xlpm.v&lt;&gt;"", 'Calcolo Overdose'!$D5=_xlpm.v), "X", "")))</f>
        <v/>
      </c>
      <c r="I20" s="64" t="str">
        <f>IF(CONTROLLO!$B$13="SI", "",_xlfn.LET(_xlpm.v, _xlfn.XLOOKUP('Calcolo Overdose'!$G5, Valutazioni!$A$2:$A$20, Valutazioni!$E$2:$E$20, ""),IF(AND('Calcolo Overdose'!$D5&lt;&gt;"", _xlpm.v&lt;&gt;"", 'Calcolo Overdose'!$D5=_xlpm.v), "X", "")))</f>
        <v/>
      </c>
      <c r="J20" s="66" t="str">
        <f>IF(CONTROLLO!$B$13="SI", "",_xlfn.LET(_xlpm.v, _xlfn.XLOOKUP('Calcolo Overdose'!$G5, Valutazioni!$A$2:$A$20, Valutazioni!$F$2:$F$20, ""),IF(AND('Calcolo Overdose'!$D5&lt;&gt;"", _xlpm.v&lt;&gt;"", 'Calcolo Overdose'!$D5=_xlpm.v), "X", "")))</f>
        <v/>
      </c>
    </row>
    <row r="21" spans="1:10">
      <c r="A21" s="41" t="str">
        <f>'Calcolo Overdose'!F6</f>
        <v>si presenta come soccorritore</v>
      </c>
      <c r="B21" s="12"/>
      <c r="C21" s="12"/>
      <c r="D21" s="12"/>
      <c r="E21" s="12"/>
      <c r="F21" s="64" t="str">
        <f>IF(CONTROLLO!$B$13="SI", "",_xlfn.LET(_xlpm.v, _xlfn.XLOOKUP('Calcolo Overdose'!$G6, Valutazioni!$A$2:$A$20, Valutazioni!$B$2:$B$20, ""),IF(AND('Calcolo Overdose'!$D6&lt;&gt;"", _xlpm.v&lt;&gt;"", 'Calcolo Overdose'!$D6=_xlpm.v), "X", "")))</f>
        <v/>
      </c>
      <c r="G21" s="64" t="str">
        <f>IF(CONTROLLO!$B$13="SI", "",_xlfn.LET(_xlpm.v, _xlfn.XLOOKUP('Calcolo Overdose'!$G6, Valutazioni!$A$2:$A$20, Valutazioni!$C$2:$C$20, ""),IF(AND('Calcolo Overdose'!$D6&lt;&gt;"", _xlpm.v&lt;&gt;"", 'Calcolo Overdose'!$D6=_xlpm.v), "X", "")))</f>
        <v/>
      </c>
      <c r="H21" s="64" t="str">
        <f>IF(CONTROLLO!$B$13="SI", "",_xlfn.LET(_xlpm.v, _xlfn.XLOOKUP('Calcolo Overdose'!$G6, Valutazioni!$A$2:$A$20, Valutazioni!$D$2:$D$20, ""),IF(AND('Calcolo Overdose'!$D6&lt;&gt;"", _xlpm.v&lt;&gt;"", 'Calcolo Overdose'!$D6=_xlpm.v), "X", "")))</f>
        <v/>
      </c>
      <c r="I21" s="64" t="str">
        <f>IF(CONTROLLO!$B$13="SI", "",_xlfn.LET(_xlpm.v, _xlfn.XLOOKUP('Calcolo Overdose'!$G6, Valutazioni!$A$2:$A$20, Valutazioni!$E$2:$E$20, ""),IF(AND('Calcolo Overdose'!$D6&lt;&gt;"", _xlpm.v&lt;&gt;"", 'Calcolo Overdose'!$D6=_xlpm.v), "X", "")))</f>
        <v/>
      </c>
      <c r="J21" s="66" t="str">
        <f>IF(CONTROLLO!$B$13="SI", "",_xlfn.LET(_xlpm.v, _xlfn.XLOOKUP('Calcolo Overdose'!$G6, Valutazioni!$A$2:$A$20, Valutazioni!$F$2:$F$20, ""),IF(AND('Calcolo Overdose'!$D6&lt;&gt;"", _xlpm.v&lt;&gt;"", 'Calcolo Overdose'!$D6=_xlpm.v), "X", "")))</f>
        <v/>
      </c>
    </row>
    <row r="22" spans="1:10">
      <c r="A22" s="41" t="str">
        <f>'Calcolo Overdose'!F7</f>
        <v>parla con la persona/astanti  informandosi sull’accaduto</v>
      </c>
      <c r="B22" s="12"/>
      <c r="C22" s="12"/>
      <c r="D22" s="12"/>
      <c r="E22" s="12"/>
      <c r="F22" s="64" t="str">
        <f>IF(CONTROLLO!$B$13="SI", "",_xlfn.LET(_xlpm.v, _xlfn.XLOOKUP('Calcolo Overdose'!$G7, Valutazioni!$A$2:$A$20, Valutazioni!$B$2:$B$20, ""),IF(AND('Calcolo Overdose'!$D7&lt;&gt;"", _xlpm.v&lt;&gt;"", 'Calcolo Overdose'!$D7=_xlpm.v), "X", "")))</f>
        <v/>
      </c>
      <c r="G22" s="64" t="str">
        <f>IF(CONTROLLO!$B$13="SI", "",_xlfn.LET(_xlpm.v, _xlfn.XLOOKUP('Calcolo Overdose'!$G7, Valutazioni!$A$2:$A$20, Valutazioni!$C$2:$C$20, ""),IF(AND('Calcolo Overdose'!$D7&lt;&gt;"", _xlpm.v&lt;&gt;"", 'Calcolo Overdose'!$D7=_xlpm.v), "X", "")))</f>
        <v/>
      </c>
      <c r="H22" s="64" t="str">
        <f>IF(CONTROLLO!$B$13="SI", "",_xlfn.LET(_xlpm.v, _xlfn.XLOOKUP('Calcolo Overdose'!$G7, Valutazioni!$A$2:$A$20, Valutazioni!$D$2:$D$20, ""),IF(AND('Calcolo Overdose'!$D7&lt;&gt;"", _xlpm.v&lt;&gt;"", 'Calcolo Overdose'!$D7=_xlpm.v), "X", "")))</f>
        <v/>
      </c>
      <c r="I22" s="64" t="str">
        <f>IF(CONTROLLO!$B$13="SI", "",_xlfn.LET(_xlpm.v, _xlfn.XLOOKUP('Calcolo Overdose'!$G7, Valutazioni!$A$2:$A$20, Valutazioni!$E$2:$E$20, ""),IF(AND('Calcolo Overdose'!$D7&lt;&gt;"", _xlpm.v&lt;&gt;"", 'Calcolo Overdose'!$D7=_xlpm.v), "X", "")))</f>
        <v/>
      </c>
      <c r="J22" s="66" t="str">
        <f>IF(CONTROLLO!$B$13="SI", "",_xlfn.LET(_xlpm.v, _xlfn.XLOOKUP('Calcolo Overdose'!$G7, Valutazioni!$A$2:$A$20, Valutazioni!$F$2:$F$20, ""),IF(AND('Calcolo Overdose'!$D7&lt;&gt;"", _xlpm.v&lt;&gt;"", 'Calcolo Overdose'!$D7=_xlpm.v), "X", "")))</f>
        <v/>
      </c>
    </row>
    <row r="23" spans="1:10">
      <c r="A23" s="41" t="str">
        <f>'Calcolo Overdose'!F8</f>
        <v>atteggiamento professionale (cortese ma determinato)</v>
      </c>
      <c r="B23" s="12"/>
      <c r="C23" s="12"/>
      <c r="D23" s="12"/>
      <c r="E23" s="12"/>
      <c r="F23" s="64" t="str">
        <f>IF(CONTROLLO!$B$13="SI", "",_xlfn.LET(_xlpm.v, _xlfn.XLOOKUP('Calcolo Overdose'!$G8, Valutazioni!$A$2:$A$20, Valutazioni!$B$2:$B$20, ""),IF(AND('Calcolo Overdose'!$D8&lt;&gt;"", _xlpm.v&lt;&gt;"", 'Calcolo Overdose'!$D8=_xlpm.v), "X", "")))</f>
        <v/>
      </c>
      <c r="G23" s="64" t="str">
        <f>IF(CONTROLLO!$B$13="SI", "",_xlfn.LET(_xlpm.v, _xlfn.XLOOKUP('Calcolo Overdose'!$G8, Valutazioni!$A$2:$A$20, Valutazioni!$C$2:$C$20, ""),IF(AND('Calcolo Overdose'!$D8&lt;&gt;"", _xlpm.v&lt;&gt;"", 'Calcolo Overdose'!$D8=_xlpm.v), "X", "")))</f>
        <v/>
      </c>
      <c r="H23" s="64" t="str">
        <f>IF(CONTROLLO!$B$13="SI", "",_xlfn.LET(_xlpm.v, _xlfn.XLOOKUP('Calcolo Overdose'!$G8, Valutazioni!$A$2:$A$20, Valutazioni!$D$2:$D$20, ""),IF(AND('Calcolo Overdose'!$D8&lt;&gt;"", _xlpm.v&lt;&gt;"", 'Calcolo Overdose'!$D8=_xlpm.v), "X", "")))</f>
        <v/>
      </c>
      <c r="I23" s="64" t="str">
        <f>IF(CONTROLLO!$B$13="SI", "",_xlfn.LET(_xlpm.v, _xlfn.XLOOKUP('Calcolo Overdose'!$G8, Valutazioni!$A$2:$A$20, Valutazioni!$E$2:$E$20, ""),IF(AND('Calcolo Overdose'!$D8&lt;&gt;"", _xlpm.v&lt;&gt;"", 'Calcolo Overdose'!$D8=_xlpm.v), "X", "")))</f>
        <v/>
      </c>
      <c r="J23" s="66" t="str">
        <f>IF(CONTROLLO!$B$13="SI", "",_xlfn.LET(_xlpm.v, _xlfn.XLOOKUP('Calcolo Overdose'!$G8, Valutazioni!$A$2:$A$20, Valutazioni!$F$2:$F$20, ""),IF(AND('Calcolo Overdose'!$D8&lt;&gt;"", _xlpm.v&lt;&gt;"", 'Calcolo Overdose'!$D8=_xlpm.v), "X", "")))</f>
        <v/>
      </c>
    </row>
    <row r="24" spans="1:10">
      <c r="A24" s="41" t="str">
        <f>'Calcolo Overdose'!F9</f>
        <v>mantiene il contatto visivo con il paziente</v>
      </c>
      <c r="B24" s="12"/>
      <c r="C24" s="12"/>
      <c r="D24" s="12"/>
      <c r="E24" s="12"/>
      <c r="F24" s="64" t="str">
        <f>IF(CONTROLLO!$B$13="SI", "",_xlfn.LET(_xlpm.v, _xlfn.XLOOKUP('Calcolo Overdose'!$G9, Valutazioni!$A$2:$A$20, Valutazioni!$B$2:$B$20, ""),IF(AND('Calcolo Overdose'!$D9&lt;&gt;"", _xlpm.v&lt;&gt;"", 'Calcolo Overdose'!$D9=_xlpm.v), "X", "")))</f>
        <v/>
      </c>
      <c r="G24" s="64" t="str">
        <f>IF(CONTROLLO!$B$13="SI", "",_xlfn.LET(_xlpm.v, _xlfn.XLOOKUP('Calcolo Overdose'!$G9, Valutazioni!$A$2:$A$20, Valutazioni!$C$2:$C$20, ""),IF(AND('Calcolo Overdose'!$D9&lt;&gt;"", _xlpm.v&lt;&gt;"", 'Calcolo Overdose'!$D9=_xlpm.v), "X", "")))</f>
        <v/>
      </c>
      <c r="H24" s="64" t="str">
        <f>IF(CONTROLLO!$B$13="SI", "",_xlfn.LET(_xlpm.v, _xlfn.XLOOKUP('Calcolo Overdose'!$G9, Valutazioni!$A$2:$A$20, Valutazioni!$D$2:$D$20, ""),IF(AND('Calcolo Overdose'!$D9&lt;&gt;"", _xlpm.v&lt;&gt;"", 'Calcolo Overdose'!$D9=_xlpm.v), "X", "")))</f>
        <v/>
      </c>
      <c r="I24" s="64" t="str">
        <f>IF(CONTROLLO!$B$13="SI", "",_xlfn.LET(_xlpm.v, _xlfn.XLOOKUP('Calcolo Overdose'!$G9, Valutazioni!$A$2:$A$20, Valutazioni!$E$2:$E$20, ""),IF(AND('Calcolo Overdose'!$D9&lt;&gt;"", _xlpm.v&lt;&gt;"", 'Calcolo Overdose'!$D9=_xlpm.v), "X", "")))</f>
        <v/>
      </c>
      <c r="J24" s="66" t="str">
        <f>IF(CONTROLLO!$B$13="SI", "",_xlfn.LET(_xlpm.v, _xlfn.XLOOKUP('Calcolo Overdose'!$G9, Valutazioni!$A$2:$A$20, Valutazioni!$F$2:$F$20, ""),IF(AND('Calcolo Overdose'!$D9&lt;&gt;"", _xlpm.v&lt;&gt;"", 'Calcolo Overdose'!$D9=_xlpm.v), "X", "")))</f>
        <v/>
      </c>
    </row>
    <row r="25" spans="1:10">
      <c r="A25" s="41" t="str">
        <f>'Calcolo Overdose'!F10</f>
        <v>consenso informato</v>
      </c>
      <c r="B25" s="12"/>
      <c r="C25" s="12"/>
      <c r="D25" s="12"/>
      <c r="E25" s="12"/>
      <c r="F25" s="64" t="str">
        <f>IF(CONTROLLO!$B$13="SI", "",_xlfn.LET(_xlpm.v, _xlfn.XLOOKUP('Calcolo Overdose'!$G10, Valutazioni!$A$2:$A$20, Valutazioni!$B$2:$B$20, ""),IF(AND('Calcolo Overdose'!$D10&lt;&gt;"", _xlpm.v&lt;&gt;"", 'Calcolo Overdose'!$D10=_xlpm.v), "X", "")))</f>
        <v/>
      </c>
      <c r="G25" s="64" t="str">
        <f>IF(CONTROLLO!$B$13="SI", "",_xlfn.LET(_xlpm.v, _xlfn.XLOOKUP('Calcolo Overdose'!$G10, Valutazioni!$A$2:$A$20, Valutazioni!$C$2:$C$20, ""),IF(AND('Calcolo Overdose'!$D10&lt;&gt;"", _xlpm.v&lt;&gt;"", 'Calcolo Overdose'!$D10=_xlpm.v), "X", "")))</f>
        <v/>
      </c>
      <c r="H25" s="64" t="str">
        <f>IF(CONTROLLO!$B$13="SI", "",_xlfn.LET(_xlpm.v, _xlfn.XLOOKUP('Calcolo Overdose'!$G10, Valutazioni!$A$2:$A$20, Valutazioni!$D$2:$D$20, ""),IF(AND('Calcolo Overdose'!$D10&lt;&gt;"", _xlpm.v&lt;&gt;"", 'Calcolo Overdose'!$D10=_xlpm.v), "X", "")))</f>
        <v/>
      </c>
      <c r="I25" s="64" t="str">
        <f>IF(CONTROLLO!$B$13="SI", "",_xlfn.LET(_xlpm.v, _xlfn.XLOOKUP('Calcolo Overdose'!$G10, Valutazioni!$A$2:$A$20, Valutazioni!$E$2:$E$20, ""),IF(AND('Calcolo Overdose'!$D10&lt;&gt;"", _xlpm.v&lt;&gt;"", 'Calcolo Overdose'!$D10=_xlpm.v), "X", "")))</f>
        <v/>
      </c>
      <c r="J25" s="66" t="str">
        <f>IF(CONTROLLO!$B$13="SI", "",_xlfn.LET(_xlpm.v, _xlfn.XLOOKUP('Calcolo Overdose'!$G10, Valutazioni!$A$2:$A$20, Valutazioni!$F$2:$F$20, ""),IF(AND('Calcolo Overdose'!$D10&lt;&gt;"", _xlpm.v&lt;&gt;"", 'Calcolo Overdose'!$D10=_xlpm.v), "X", "")))</f>
        <v/>
      </c>
    </row>
    <row r="26" spans="1:10">
      <c r="A26" s="85" t="str">
        <f>'Calcolo Overdose'!F11</f>
        <v>MISURE DI PRIMO SOCCORSO</v>
      </c>
      <c r="B26" s="86"/>
      <c r="C26" s="86"/>
      <c r="D26" s="86"/>
      <c r="E26" s="86"/>
      <c r="F26" s="64" t="str">
        <f>IF(CONTROLLO!$B$13="SI", "",_xlfn.LET(_xlpm.v, _xlfn.XLOOKUP('Calcolo Overdose'!$G11, Valutazioni!$A$2:$A$20, Valutazioni!$B$2:$B$20, ""),IF(AND('Calcolo Overdose'!$D11&lt;&gt;"", _xlpm.v&lt;&gt;"", 'Calcolo Overdose'!$D11=_xlpm.v), "X", "")))</f>
        <v/>
      </c>
      <c r="G26" s="64" t="str">
        <f>IF(CONTROLLO!$B$13="SI", "",_xlfn.LET(_xlpm.v, _xlfn.XLOOKUP('Calcolo Overdose'!$G11, Valutazioni!$A$2:$A$20, Valutazioni!$C$2:$C$20, ""),IF(AND('Calcolo Overdose'!$D11&lt;&gt;"", _xlpm.v&lt;&gt;"", 'Calcolo Overdose'!$D11=_xlpm.v), "X", "")))</f>
        <v/>
      </c>
      <c r="H26" s="64" t="str">
        <f>IF(CONTROLLO!$B$13="SI", "",_xlfn.LET(_xlpm.v, _xlfn.XLOOKUP('Calcolo Overdose'!$G11, Valutazioni!$A$2:$A$20, Valutazioni!$D$2:$D$20, ""),IF(AND('Calcolo Overdose'!$D11&lt;&gt;"", _xlpm.v&lt;&gt;"", 'Calcolo Overdose'!$D11=_xlpm.v), "X", "")))</f>
        <v/>
      </c>
      <c r="I26" s="64" t="str">
        <f>IF(CONTROLLO!$B$13="SI", "",_xlfn.LET(_xlpm.v, _xlfn.XLOOKUP('Calcolo Overdose'!$G11, Valutazioni!$A$2:$A$20, Valutazioni!$E$2:$E$20, ""),IF(AND('Calcolo Overdose'!$D11&lt;&gt;"", _xlpm.v&lt;&gt;"", 'Calcolo Overdose'!$D11=_xlpm.v), "X", "")))</f>
        <v/>
      </c>
      <c r="J26" s="66" t="str">
        <f>IF(CONTROLLO!$B$13="SI", "",_xlfn.LET(_xlpm.v, _xlfn.XLOOKUP('Calcolo Overdose'!$G11, Valutazioni!$A$2:$A$20, Valutazioni!$F$2:$F$20, ""),IF(AND('Calcolo Overdose'!$D11&lt;&gt;"", _xlpm.v&lt;&gt;"", 'Calcolo Overdose'!$D11=_xlpm.v), "X", "")))</f>
        <v/>
      </c>
    </row>
    <row r="27" spans="1:10">
      <c r="A27" s="41" t="str">
        <f>'Calcolo Overdose'!F12</f>
        <v>Stabilizza la siringa</v>
      </c>
      <c r="B27" s="12"/>
      <c r="C27" s="12"/>
      <c r="D27" s="12"/>
      <c r="E27" s="12"/>
      <c r="F27" s="64" t="str">
        <f>IF(CONTROLLO!$B$13="SI", "",_xlfn.LET(_xlpm.v, _xlfn.XLOOKUP('Calcolo Overdose'!$G12, Valutazioni!$A$2:$A$20, Valutazioni!$B$2:$B$20, ""),IF(AND('Calcolo Overdose'!$D12&lt;&gt;"", _xlpm.v&lt;&gt;"", 'Calcolo Overdose'!$D12=_xlpm.v), "X", "")))</f>
        <v/>
      </c>
      <c r="G27" s="64" t="str">
        <f>IF(CONTROLLO!$B$13="SI", "",_xlfn.LET(_xlpm.v, _xlfn.XLOOKUP('Calcolo Overdose'!$G12, Valutazioni!$A$2:$A$20, Valutazioni!$C$2:$C$20, ""),IF(AND('Calcolo Overdose'!$D12&lt;&gt;"", _xlpm.v&lt;&gt;"", 'Calcolo Overdose'!$D12=_xlpm.v), "X", "")))</f>
        <v/>
      </c>
      <c r="H27" s="64" t="str">
        <f>IF(CONTROLLO!$B$13="SI", "",_xlfn.LET(_xlpm.v, _xlfn.XLOOKUP('Calcolo Overdose'!$G12, Valutazioni!$A$2:$A$20, Valutazioni!$D$2:$D$20, ""),IF(AND('Calcolo Overdose'!$D12&lt;&gt;"", _xlpm.v&lt;&gt;"", 'Calcolo Overdose'!$D12=_xlpm.v), "X", "")))</f>
        <v/>
      </c>
      <c r="I27" s="64" t="str">
        <f>IF(CONTROLLO!$B$13="SI", "",_xlfn.LET(_xlpm.v, _xlfn.XLOOKUP('Calcolo Overdose'!$G12, Valutazioni!$A$2:$A$20, Valutazioni!$E$2:$E$20, ""),IF(AND('Calcolo Overdose'!$D12&lt;&gt;"", _xlpm.v&lt;&gt;"", 'Calcolo Overdose'!$D12=_xlpm.v), "X", "")))</f>
        <v/>
      </c>
      <c r="J27" s="66" t="str">
        <f>IF(CONTROLLO!$B$13="SI", "",_xlfn.LET(_xlpm.v, _xlfn.XLOOKUP('Calcolo Overdose'!$G12, Valutazioni!$A$2:$A$20, Valutazioni!$F$2:$F$20, ""),IF(AND('Calcolo Overdose'!$D12&lt;&gt;"", _xlpm.v&lt;&gt;"", 'Calcolo Overdose'!$D12=_xlpm.v), "X", "")))</f>
        <v/>
      </c>
    </row>
    <row r="28" spans="1:10">
      <c r="A28" s="41" t="str">
        <f>'Calcolo Overdose'!F13</f>
        <v>Controlla Coscienza (U-&gt;V)</v>
      </c>
      <c r="B28" s="12"/>
      <c r="C28" s="12"/>
      <c r="D28" s="12"/>
      <c r="E28" s="12"/>
      <c r="F28" s="64" t="str">
        <f>IF(CONTROLLO!$B$13="SI", "",_xlfn.LET(_xlpm.v, _xlfn.XLOOKUP('Calcolo Overdose'!$G13, Valutazioni!$A$2:$A$20, Valutazioni!$B$2:$B$20, ""),IF(AND('Calcolo Overdose'!$D13&lt;&gt;"", _xlpm.v&lt;&gt;"", 'Calcolo Overdose'!$D13=_xlpm.v), "X", "")))</f>
        <v/>
      </c>
      <c r="G28" s="64" t="str">
        <f>IF(CONTROLLO!$B$13="SI", "",_xlfn.LET(_xlpm.v, _xlfn.XLOOKUP('Calcolo Overdose'!$G13, Valutazioni!$A$2:$A$20, Valutazioni!$C$2:$C$20, ""),IF(AND('Calcolo Overdose'!$D13&lt;&gt;"", _xlpm.v&lt;&gt;"", 'Calcolo Overdose'!$D13=_xlpm.v), "X", "")))</f>
        <v/>
      </c>
      <c r="H28" s="64" t="str">
        <f>IF(CONTROLLO!$B$13="SI", "",_xlfn.LET(_xlpm.v, _xlfn.XLOOKUP('Calcolo Overdose'!$G13, Valutazioni!$A$2:$A$20, Valutazioni!$D$2:$D$20, ""),IF(AND('Calcolo Overdose'!$D13&lt;&gt;"", _xlpm.v&lt;&gt;"", 'Calcolo Overdose'!$D13=_xlpm.v), "X", "")))</f>
        <v/>
      </c>
      <c r="I28" s="64" t="str">
        <f>IF(CONTROLLO!$B$13="SI", "",_xlfn.LET(_xlpm.v, _xlfn.XLOOKUP('Calcolo Overdose'!$G13, Valutazioni!$A$2:$A$20, Valutazioni!$E$2:$E$20, ""),IF(AND('Calcolo Overdose'!$D13&lt;&gt;"", _xlpm.v&lt;&gt;"", 'Calcolo Overdose'!$D13=_xlpm.v), "X", "")))</f>
        <v/>
      </c>
      <c r="J28" s="66" t="str">
        <f>IF(CONTROLLO!$B$13="SI", "",_xlfn.LET(_xlpm.v, _xlfn.XLOOKUP('Calcolo Overdose'!$G13, Valutazioni!$A$2:$A$20, Valutazioni!$F$2:$F$20, ""),IF(AND('Calcolo Overdose'!$D13&lt;&gt;"", _xlpm.v&lt;&gt;"", 'Calcolo Overdose'!$D13=_xlpm.v), "X", "")))</f>
        <v/>
      </c>
    </row>
    <row r="29" spans="1:10">
      <c r="A29" s="41" t="str">
        <f>'Calcolo Overdose'!F14</f>
        <v>Controlal Pervietà e odori</v>
      </c>
      <c r="B29" s="12"/>
      <c r="C29" s="12"/>
      <c r="D29" s="12"/>
      <c r="E29" s="12"/>
      <c r="F29" s="64" t="str">
        <f>IF(CONTROLLO!$B$13="SI", "",_xlfn.LET(_xlpm.v, _xlfn.XLOOKUP('Calcolo Overdose'!$G14, Valutazioni!$A$2:$A$20, Valutazioni!$B$2:$B$20, ""),IF(AND('Calcolo Overdose'!$D14&lt;&gt;"", _xlpm.v&lt;&gt;"", 'Calcolo Overdose'!$D14=_xlpm.v), "X", "")))</f>
        <v/>
      </c>
      <c r="G29" s="64" t="str">
        <f>IF(CONTROLLO!$B$13="SI", "",_xlfn.LET(_xlpm.v, _xlfn.XLOOKUP('Calcolo Overdose'!$G14, Valutazioni!$A$2:$A$20, Valutazioni!$C$2:$C$20, ""),IF(AND('Calcolo Overdose'!$D14&lt;&gt;"", _xlpm.v&lt;&gt;"", 'Calcolo Overdose'!$D14=_xlpm.v), "X", "")))</f>
        <v/>
      </c>
      <c r="H29" s="64" t="str">
        <f>IF(CONTROLLO!$B$13="SI", "",_xlfn.LET(_xlpm.v, _xlfn.XLOOKUP('Calcolo Overdose'!$G14, Valutazioni!$A$2:$A$20, Valutazioni!$D$2:$D$20, ""),IF(AND('Calcolo Overdose'!$D14&lt;&gt;"", _xlpm.v&lt;&gt;"", 'Calcolo Overdose'!$D14=_xlpm.v), "X", "")))</f>
        <v/>
      </c>
      <c r="I29" s="64" t="str">
        <f>IF(CONTROLLO!$B$13="SI", "",_xlfn.LET(_xlpm.v, _xlfn.XLOOKUP('Calcolo Overdose'!$G14, Valutazioni!$A$2:$A$20, Valutazioni!$E$2:$E$20, ""),IF(AND('Calcolo Overdose'!$D14&lt;&gt;"", _xlpm.v&lt;&gt;"", 'Calcolo Overdose'!$D14=_xlpm.v), "X", "")))</f>
        <v/>
      </c>
      <c r="J29" s="66" t="str">
        <f>IF(CONTROLLO!$B$13="SI", "",_xlfn.LET(_xlpm.v, _xlfn.XLOOKUP('Calcolo Overdose'!$G14, Valutazioni!$A$2:$A$20, Valutazioni!$F$2:$F$20, ""),IF(AND('Calcolo Overdose'!$D14&lt;&gt;"", _xlpm.v&lt;&gt;"", 'Calcolo Overdose'!$D14=_xlpm.v), "X", "")))</f>
        <v/>
      </c>
    </row>
    <row r="30" spans="1:10">
      <c r="A30" s="41" t="str">
        <f>'Calcolo Overdose'!F15</f>
        <v>valuta la qualità del respiro</v>
      </c>
      <c r="B30" s="12"/>
      <c r="C30" s="12"/>
      <c r="D30" s="12"/>
      <c r="E30" s="12"/>
      <c r="F30" s="64" t="str">
        <f>IF(CONTROLLO!$B$13="SI", "",_xlfn.LET(_xlpm.v, _xlfn.XLOOKUP('Calcolo Overdose'!$G15, Valutazioni!$A$2:$A$20, Valutazioni!$B$2:$B$20, ""),IF(AND('Calcolo Overdose'!$D15&lt;&gt;"", _xlpm.v&lt;&gt;"", 'Calcolo Overdose'!$D15=_xlpm.v), "X", "")))</f>
        <v/>
      </c>
      <c r="G30" s="64" t="str">
        <f>IF(CONTROLLO!$B$13="SI", "",_xlfn.LET(_xlpm.v, _xlfn.XLOOKUP('Calcolo Overdose'!$G15, Valutazioni!$A$2:$A$20, Valutazioni!$C$2:$C$20, ""),IF(AND('Calcolo Overdose'!$D15&lt;&gt;"", _xlpm.v&lt;&gt;"", 'Calcolo Overdose'!$D15=_xlpm.v), "X", "")))</f>
        <v/>
      </c>
      <c r="H30" s="64" t="str">
        <f>IF(CONTROLLO!$B$13="SI", "",_xlfn.LET(_xlpm.v, _xlfn.XLOOKUP('Calcolo Overdose'!$G15, Valutazioni!$A$2:$A$20, Valutazioni!$D$2:$D$20, ""),IF(AND('Calcolo Overdose'!$D15&lt;&gt;"", _xlpm.v&lt;&gt;"", 'Calcolo Overdose'!$D15=_xlpm.v), "X", "")))</f>
        <v/>
      </c>
      <c r="I30" s="64" t="str">
        <f>IF(CONTROLLO!$B$13="SI", "",_xlfn.LET(_xlpm.v, _xlfn.XLOOKUP('Calcolo Overdose'!$G15, Valutazioni!$A$2:$A$20, Valutazioni!$E$2:$E$20, ""),IF(AND('Calcolo Overdose'!$D15&lt;&gt;"", _xlpm.v&lt;&gt;"", 'Calcolo Overdose'!$D15=_xlpm.v), "X", "")))</f>
        <v/>
      </c>
      <c r="J30" s="66" t="str">
        <f>IF(CONTROLLO!$B$13="SI", "",_xlfn.LET(_xlpm.v, _xlfn.XLOOKUP('Calcolo Overdose'!$G15, Valutazioni!$A$2:$A$20, Valutazioni!$F$2:$F$20, ""),IF(AND('Calcolo Overdose'!$D15&lt;&gt;"", _xlpm.v&lt;&gt;"", 'Calcolo Overdose'!$D15=_xlpm.v), "X", "")))</f>
        <v/>
      </c>
    </row>
    <row r="31" spans="1:10">
      <c r="A31" s="41" t="str">
        <f>'Calcolo Overdose'!F16</f>
        <v>Slaccia ciò che strige</v>
      </c>
      <c r="B31" s="12"/>
      <c r="C31" s="12"/>
      <c r="D31" s="12"/>
      <c r="E31" s="12"/>
      <c r="F31" s="64" t="str">
        <f>IF(CONTROLLO!$B$13="SI", "",_xlfn.LET(_xlpm.v, _xlfn.XLOOKUP('Calcolo Overdose'!$G16, Valutazioni!$A$2:$A$20, Valutazioni!$B$2:$B$20, ""),IF(AND('Calcolo Overdose'!$D16&lt;&gt;"", _xlpm.v&lt;&gt;"", 'Calcolo Overdose'!$D16=_xlpm.v), "X", "")))</f>
        <v/>
      </c>
      <c r="G31" s="64" t="str">
        <f>IF(CONTROLLO!$B$13="SI", "",_xlfn.LET(_xlpm.v, _xlfn.XLOOKUP('Calcolo Overdose'!$G16, Valutazioni!$A$2:$A$20, Valutazioni!$C$2:$C$20, ""),IF(AND('Calcolo Overdose'!$D16&lt;&gt;"", _xlpm.v&lt;&gt;"", 'Calcolo Overdose'!$D16=_xlpm.v), "X", "")))</f>
        <v/>
      </c>
      <c r="H31" s="64" t="str">
        <f>IF(CONTROLLO!$B$13="SI", "",_xlfn.LET(_xlpm.v, _xlfn.XLOOKUP('Calcolo Overdose'!$G16, Valutazioni!$A$2:$A$20, Valutazioni!$D$2:$D$20, ""),IF(AND('Calcolo Overdose'!$D16&lt;&gt;"", _xlpm.v&lt;&gt;"", 'Calcolo Overdose'!$D16=_xlpm.v), "X", "")))</f>
        <v/>
      </c>
      <c r="I31" s="64" t="str">
        <f>IF(CONTROLLO!$B$13="SI", "",_xlfn.LET(_xlpm.v, _xlfn.XLOOKUP('Calcolo Overdose'!$G16, Valutazioni!$A$2:$A$20, Valutazioni!$E$2:$E$20, ""),IF(AND('Calcolo Overdose'!$D16&lt;&gt;"", _xlpm.v&lt;&gt;"", 'Calcolo Overdose'!$D16=_xlpm.v), "X", "")))</f>
        <v/>
      </c>
      <c r="J31" s="66" t="str">
        <f>IF(CONTROLLO!$B$13="SI", "",_xlfn.LET(_xlpm.v, _xlfn.XLOOKUP('Calcolo Overdose'!$G16, Valutazioni!$A$2:$A$20, Valutazioni!$F$2:$F$20, ""),IF(AND('Calcolo Overdose'!$D16&lt;&gt;"", _xlpm.v&lt;&gt;"", 'Calcolo Overdose'!$D16=_xlpm.v), "X", "")))</f>
        <v/>
      </c>
    </row>
    <row r="32" spans="1:10">
      <c r="A32" s="41" t="str">
        <f>'Calcolo Overdose'!F17</f>
        <v>valuta circolo per 10 sec.</v>
      </c>
      <c r="B32" s="12"/>
      <c r="C32" s="12"/>
      <c r="D32" s="12"/>
      <c r="E32" s="12"/>
      <c r="F32" s="64" t="str">
        <f>IF(CONTROLLO!$B$13="SI", "",_xlfn.LET(_xlpm.v, _xlfn.XLOOKUP('Calcolo Overdose'!$G17, Valutazioni!$A$2:$A$20, Valutazioni!$B$2:$B$20, ""),IF(AND('Calcolo Overdose'!$D17&lt;&gt;"", _xlpm.v&lt;&gt;"", 'Calcolo Overdose'!$D17=_xlpm.v), "X", "")))</f>
        <v/>
      </c>
      <c r="G32" s="64" t="str">
        <f>IF(CONTROLLO!$B$13="SI", "",_xlfn.LET(_xlpm.v, _xlfn.XLOOKUP('Calcolo Overdose'!$G17, Valutazioni!$A$2:$A$20, Valutazioni!$C$2:$C$20, ""),IF(AND('Calcolo Overdose'!$D17&lt;&gt;"", _xlpm.v&lt;&gt;"", 'Calcolo Overdose'!$D17=_xlpm.v), "X", "")))</f>
        <v/>
      </c>
      <c r="H32" s="64" t="str">
        <f>IF(CONTROLLO!$B$13="SI", "",_xlfn.LET(_xlpm.v, _xlfn.XLOOKUP('Calcolo Overdose'!$G17, Valutazioni!$A$2:$A$20, Valutazioni!$D$2:$D$20, ""),IF(AND('Calcolo Overdose'!$D17&lt;&gt;"", _xlpm.v&lt;&gt;"", 'Calcolo Overdose'!$D17=_xlpm.v), "X", "")))</f>
        <v/>
      </c>
      <c r="I32" s="64" t="str">
        <f>IF(CONTROLLO!$B$13="SI", "",_xlfn.LET(_xlpm.v, _xlfn.XLOOKUP('Calcolo Overdose'!$G17, Valutazioni!$A$2:$A$20, Valutazioni!$E$2:$E$20, ""),IF(AND('Calcolo Overdose'!$D17&lt;&gt;"", _xlpm.v&lt;&gt;"", 'Calcolo Overdose'!$D17=_xlpm.v), "X", "")))</f>
        <v/>
      </c>
      <c r="J32" s="66" t="str">
        <f>IF(CONTROLLO!$B$13="SI", "",_xlfn.LET(_xlpm.v, _xlfn.XLOOKUP('Calcolo Overdose'!$G17, Valutazioni!$A$2:$A$20, Valutazioni!$F$2:$F$20, ""),IF(AND('Calcolo Overdose'!$D17&lt;&gt;"", _xlpm.v&lt;&gt;"", 'Calcolo Overdose'!$D17=_xlpm.v), "X", "")))</f>
        <v/>
      </c>
    </row>
    <row r="33" spans="1:10">
      <c r="A33" s="41" t="str">
        <f>'Calcolo Overdose'!F18</f>
        <v>Controlla Cute</v>
      </c>
      <c r="B33" s="12"/>
      <c r="C33" s="12"/>
      <c r="D33" s="12"/>
      <c r="E33" s="12"/>
      <c r="F33" s="64" t="str">
        <f>IF(CONTROLLO!$B$13="SI", "",_xlfn.LET(_xlpm.v, _xlfn.XLOOKUP('Calcolo Overdose'!$G18, Valutazioni!$A$2:$A$20, Valutazioni!$B$2:$B$20, ""),IF(AND('Calcolo Overdose'!$D18&lt;&gt;"", _xlpm.v&lt;&gt;"", 'Calcolo Overdose'!$D18=_xlpm.v), "X", "")))</f>
        <v/>
      </c>
      <c r="G33" s="64" t="str">
        <f>IF(CONTROLLO!$B$13="SI", "",_xlfn.LET(_xlpm.v, _xlfn.XLOOKUP('Calcolo Overdose'!$G18, Valutazioni!$A$2:$A$20, Valutazioni!$C$2:$C$20, ""),IF(AND('Calcolo Overdose'!$D18&lt;&gt;"", _xlpm.v&lt;&gt;"", 'Calcolo Overdose'!$D18=_xlpm.v), "X", "")))</f>
        <v/>
      </c>
      <c r="H33" s="64" t="str">
        <f>IF(CONTROLLO!$B$13="SI", "",_xlfn.LET(_xlpm.v, _xlfn.XLOOKUP('Calcolo Overdose'!$G18, Valutazioni!$A$2:$A$20, Valutazioni!$D$2:$D$20, ""),IF(AND('Calcolo Overdose'!$D18&lt;&gt;"", _xlpm.v&lt;&gt;"", 'Calcolo Overdose'!$D18=_xlpm.v), "X", "")))</f>
        <v/>
      </c>
      <c r="I33" s="64" t="str">
        <f>IF(CONTROLLO!$B$13="SI", "",_xlfn.LET(_xlpm.v, _xlfn.XLOOKUP('Calcolo Overdose'!$G18, Valutazioni!$A$2:$A$20, Valutazioni!$E$2:$E$20, ""),IF(AND('Calcolo Overdose'!$D18&lt;&gt;"", _xlpm.v&lt;&gt;"", 'Calcolo Overdose'!$D18=_xlpm.v), "X", "")))</f>
        <v/>
      </c>
      <c r="J33" s="66" t="str">
        <f>IF(CONTROLLO!$B$13="SI", "",_xlfn.LET(_xlpm.v, _xlfn.XLOOKUP('Calcolo Overdose'!$G18, Valutazioni!$A$2:$A$20, Valutazioni!$F$2:$F$20, ""),IF(AND('Calcolo Overdose'!$D18&lt;&gt;"", _xlpm.v&lt;&gt;"", 'Calcolo Overdose'!$D18=_xlpm.v), "X", "")))</f>
        <v/>
      </c>
    </row>
    <row r="34" spans="1:10">
      <c r="A34" s="41" t="str">
        <f>'Calcolo Overdose'!F19</f>
        <v>A.V.P.U.</v>
      </c>
      <c r="B34" s="12"/>
      <c r="C34" s="12"/>
      <c r="D34" s="12"/>
      <c r="E34" s="12"/>
      <c r="F34" s="64" t="str">
        <f>IF(CONTROLLO!$B$13="SI", "",_xlfn.LET(_xlpm.v, _xlfn.XLOOKUP('Calcolo Overdose'!$G19, Valutazioni!$A$2:$A$20, Valutazioni!$B$2:$B$20, ""),IF(AND('Calcolo Overdose'!$D19&lt;&gt;"", _xlpm.v&lt;&gt;"", 'Calcolo Overdose'!$D19=_xlpm.v), "X", "")))</f>
        <v/>
      </c>
      <c r="G34" s="64" t="str">
        <f>IF(CONTROLLO!$B$13="SI", "",_xlfn.LET(_xlpm.v, _xlfn.XLOOKUP('Calcolo Overdose'!$G19, Valutazioni!$A$2:$A$20, Valutazioni!$C$2:$C$20, ""),IF(AND('Calcolo Overdose'!$D19&lt;&gt;"", _xlpm.v&lt;&gt;"", 'Calcolo Overdose'!$D19=_xlpm.v), "X", "")))</f>
        <v/>
      </c>
      <c r="H34" s="64" t="str">
        <f>IF(CONTROLLO!$B$13="SI", "",_xlfn.LET(_xlpm.v, _xlfn.XLOOKUP('Calcolo Overdose'!$G19, Valutazioni!$A$2:$A$20, Valutazioni!$D$2:$D$20, ""),IF(AND('Calcolo Overdose'!$D19&lt;&gt;"", _xlpm.v&lt;&gt;"", 'Calcolo Overdose'!$D19=_xlpm.v), "X", "")))</f>
        <v/>
      </c>
      <c r="I34" s="64" t="str">
        <f>IF(CONTROLLO!$B$13="SI", "",_xlfn.LET(_xlpm.v, _xlfn.XLOOKUP('Calcolo Overdose'!$G19, Valutazioni!$A$2:$A$20, Valutazioni!$E$2:$E$20, ""),IF(AND('Calcolo Overdose'!$D19&lt;&gt;"", _xlpm.v&lt;&gt;"", 'Calcolo Overdose'!$D19=_xlpm.v), "X", "")))</f>
        <v/>
      </c>
      <c r="J34" s="66" t="str">
        <f>IF(CONTROLLO!$B$13="SI", "",_xlfn.LET(_xlpm.v, _xlfn.XLOOKUP('Calcolo Overdose'!$G19, Valutazioni!$A$2:$A$20, Valutazioni!$F$2:$F$20, ""),IF(AND('Calcolo Overdose'!$D19&lt;&gt;"", _xlpm.v&lt;&gt;"", 'Calcolo Overdose'!$D19=_xlpm.v), "X", "")))</f>
        <v/>
      </c>
    </row>
    <row r="35" spans="1:10">
      <c r="A35" s="41" t="str">
        <f>'Calcolo Overdose'!F20</f>
        <v>Chiede al Team Leader di cercare eventuali droghe</v>
      </c>
      <c r="B35" s="12"/>
      <c r="C35" s="12"/>
      <c r="D35" s="12"/>
      <c r="E35" s="12"/>
      <c r="F35" s="64" t="str">
        <f>IF(CONTROLLO!$B$13="SI", "",_xlfn.LET(_xlpm.v, _xlfn.XLOOKUP('Calcolo Overdose'!$G20, Valutazioni!$A$2:$A$20, Valutazioni!$B$2:$B$20, ""),IF(AND('Calcolo Overdose'!$D20&lt;&gt;"", _xlpm.v&lt;&gt;"", 'Calcolo Overdose'!$D20=_xlpm.v), "X", "")))</f>
        <v/>
      </c>
      <c r="G35" s="64" t="str">
        <f>IF(CONTROLLO!$B$13="SI", "",_xlfn.LET(_xlpm.v, _xlfn.XLOOKUP('Calcolo Overdose'!$G20, Valutazioni!$A$2:$A$20, Valutazioni!$C$2:$C$20, ""),IF(AND('Calcolo Overdose'!$D20&lt;&gt;"", _xlpm.v&lt;&gt;"", 'Calcolo Overdose'!$D20=_xlpm.v), "X", "")))</f>
        <v/>
      </c>
      <c r="H35" s="64" t="str">
        <f>IF(CONTROLLO!$B$13="SI", "",_xlfn.LET(_xlpm.v, _xlfn.XLOOKUP('Calcolo Overdose'!$G20, Valutazioni!$A$2:$A$20, Valutazioni!$D$2:$D$20, ""),IF(AND('Calcolo Overdose'!$D20&lt;&gt;"", _xlpm.v&lt;&gt;"", 'Calcolo Overdose'!$D20=_xlpm.v), "X", "")))</f>
        <v/>
      </c>
      <c r="I35" s="64" t="str">
        <f>IF(CONTROLLO!$B$13="SI", "",_xlfn.LET(_xlpm.v, _xlfn.XLOOKUP('Calcolo Overdose'!$G20, Valutazioni!$A$2:$A$20, Valutazioni!$E$2:$E$20, ""),IF(AND('Calcolo Overdose'!$D20&lt;&gt;"", _xlpm.v&lt;&gt;"", 'Calcolo Overdose'!$D20=_xlpm.v), "X", "")))</f>
        <v/>
      </c>
      <c r="J35" s="66" t="str">
        <f>IF(CONTROLLO!$B$13="SI", "",_xlfn.LET(_xlpm.v, _xlfn.XLOOKUP('Calcolo Overdose'!$G20, Valutazioni!$A$2:$A$20, Valutazioni!$F$2:$F$20, ""),IF(AND('Calcolo Overdose'!$D20&lt;&gt;"", _xlpm.v&lt;&gt;"", 'Calcolo Overdose'!$D20=_xlpm.v), "X", "")))</f>
        <v/>
      </c>
    </row>
    <row r="36" spans="1:10">
      <c r="A36" s="41" t="str">
        <f>'Calcolo Overdose'!F21</f>
        <v>A.M.P.L.E. (chiede al leader)</v>
      </c>
      <c r="B36" s="12"/>
      <c r="C36" s="12"/>
      <c r="D36" s="12"/>
      <c r="E36" s="12"/>
      <c r="F36" s="64" t="str">
        <f>IF(CONTROLLO!$B$13="SI", "",_xlfn.LET(_xlpm.v, _xlfn.XLOOKUP('Calcolo Overdose'!$G21, Valutazioni!$A$2:$A$20, Valutazioni!$B$2:$B$20, ""),IF(AND('Calcolo Overdose'!$D21&lt;&gt;"", _xlpm.v&lt;&gt;"", 'Calcolo Overdose'!$D21=_xlpm.v), "X", "")))</f>
        <v/>
      </c>
      <c r="G36" s="64" t="str">
        <f>IF(CONTROLLO!$B$13="SI", "",_xlfn.LET(_xlpm.v, _xlfn.XLOOKUP('Calcolo Overdose'!$G21, Valutazioni!$A$2:$A$20, Valutazioni!$C$2:$C$20, ""),IF(AND('Calcolo Overdose'!$D21&lt;&gt;"", _xlpm.v&lt;&gt;"", 'Calcolo Overdose'!$D21=_xlpm.v), "X", "")))</f>
        <v/>
      </c>
      <c r="H36" s="64" t="str">
        <f>IF(CONTROLLO!$B$13="SI", "",_xlfn.LET(_xlpm.v, _xlfn.XLOOKUP('Calcolo Overdose'!$G21, Valutazioni!$A$2:$A$20, Valutazioni!$D$2:$D$20, ""),IF(AND('Calcolo Overdose'!$D21&lt;&gt;"", _xlpm.v&lt;&gt;"", 'Calcolo Overdose'!$D21=_xlpm.v), "X", "")))</f>
        <v/>
      </c>
      <c r="I36" s="64" t="str">
        <f>IF(CONTROLLO!$B$13="SI", "",_xlfn.LET(_xlpm.v, _xlfn.XLOOKUP('Calcolo Overdose'!$G21, Valutazioni!$A$2:$A$20, Valutazioni!$E$2:$E$20, ""),IF(AND('Calcolo Overdose'!$D21&lt;&gt;"", _xlpm.v&lt;&gt;"", 'Calcolo Overdose'!$D21=_xlpm.v), "X", "")))</f>
        <v/>
      </c>
      <c r="J36" s="66" t="str">
        <f>IF(CONTROLLO!$B$13="SI", "",_xlfn.LET(_xlpm.v, _xlfn.XLOOKUP('Calcolo Overdose'!$G21, Valutazioni!$A$2:$A$20, Valutazioni!$F$2:$F$20, ""),IF(AND('Calcolo Overdose'!$D21&lt;&gt;"", _xlpm.v&lt;&gt;"", 'Calcolo Overdose'!$D21=_xlpm.v), "X", "")))</f>
        <v/>
      </c>
    </row>
    <row r="37" spans="1:10">
      <c r="A37" s="41" t="str">
        <f>'Calcolo Overdose'!F22</f>
        <v>rivalutazione (A-B-C)</v>
      </c>
      <c r="B37" s="12"/>
      <c r="C37" s="12"/>
      <c r="D37" s="12"/>
      <c r="E37" s="12"/>
      <c r="F37" s="64" t="str">
        <f>IF(CONTROLLO!$B$13="SI", "",_xlfn.LET(_xlpm.v, _xlfn.XLOOKUP('Calcolo Overdose'!$G22, Valutazioni!$A$2:$A$20, Valutazioni!$B$2:$B$20, ""),IF(AND('Calcolo Overdose'!$D22&lt;&gt;"", _xlpm.v&lt;&gt;"", 'Calcolo Overdose'!$D22=_xlpm.v), "X", "")))</f>
        <v/>
      </c>
      <c r="G37" s="64" t="str">
        <f>IF(CONTROLLO!$B$13="SI", "",_xlfn.LET(_xlpm.v, _xlfn.XLOOKUP('Calcolo Overdose'!$G22, Valutazioni!$A$2:$A$20, Valutazioni!$C$2:$C$20, ""),IF(AND('Calcolo Overdose'!$D22&lt;&gt;"", _xlpm.v&lt;&gt;"", 'Calcolo Overdose'!$D22=_xlpm.v), "X", "")))</f>
        <v/>
      </c>
      <c r="H37" s="64" t="str">
        <f>IF(CONTROLLO!$B$13="SI", "",_xlfn.LET(_xlpm.v, _xlfn.XLOOKUP('Calcolo Overdose'!$G22, Valutazioni!$A$2:$A$20, Valutazioni!$D$2:$D$20, ""),IF(AND('Calcolo Overdose'!$D22&lt;&gt;"", _xlpm.v&lt;&gt;"", 'Calcolo Overdose'!$D22=_xlpm.v), "X", "")))</f>
        <v/>
      </c>
      <c r="I37" s="64" t="str">
        <f>IF(CONTROLLO!$B$13="SI", "",_xlfn.LET(_xlpm.v, _xlfn.XLOOKUP('Calcolo Overdose'!$G22, Valutazioni!$A$2:$A$20, Valutazioni!$E$2:$E$20, ""),IF(AND('Calcolo Overdose'!$D22&lt;&gt;"", _xlpm.v&lt;&gt;"", 'Calcolo Overdose'!$D22=_xlpm.v), "X", "")))</f>
        <v/>
      </c>
      <c r="J37" s="66" t="str">
        <f>IF(CONTROLLO!$B$13="SI", "",_xlfn.LET(_xlpm.v, _xlfn.XLOOKUP('Calcolo Overdose'!$G22, Valutazioni!$A$2:$A$20, Valutazioni!$F$2:$F$20, ""),IF(AND('Calcolo Overdose'!$D22&lt;&gt;"", _xlpm.v&lt;&gt;"", 'Calcolo Overdose'!$D22=_xlpm.v), "X", "")))</f>
        <v/>
      </c>
    </row>
    <row r="38" spans="1:10">
      <c r="A38" s="85" t="str">
        <f>'Calcolo Overdose'!F23</f>
        <v>ATTEGGIAMENTO DEL SOCCORRITORE</v>
      </c>
      <c r="B38" s="86"/>
      <c r="C38" s="86"/>
      <c r="D38" s="86"/>
      <c r="E38" s="86"/>
      <c r="F38" s="64" t="str">
        <f>IF(CONTROLLO!$B$13="SI", "",_xlfn.LET(_xlpm.v, _xlfn.XLOOKUP('Calcolo Overdose'!$G23, Valutazioni!$A$2:$A$20, Valutazioni!$B$2:$B$20, ""),IF(AND('Calcolo Overdose'!$D23&lt;&gt;"", _xlpm.v&lt;&gt;"", 'Calcolo Overdose'!$D23=_xlpm.v), "X", "")))</f>
        <v/>
      </c>
      <c r="G38" s="64" t="str">
        <f>IF(CONTROLLO!$B$13="SI", "",_xlfn.LET(_xlpm.v, _xlfn.XLOOKUP('Calcolo Overdose'!$G23, Valutazioni!$A$2:$A$20, Valutazioni!$C$2:$C$20, ""),IF(AND('Calcolo Overdose'!$D23&lt;&gt;"", _xlpm.v&lt;&gt;"", 'Calcolo Overdose'!$D23=_xlpm.v), "X", "")))</f>
        <v/>
      </c>
      <c r="H38" s="64" t="str">
        <f>IF(CONTROLLO!$B$13="SI", "",_xlfn.LET(_xlpm.v, _xlfn.XLOOKUP('Calcolo Overdose'!$G23, Valutazioni!$A$2:$A$20, Valutazioni!$D$2:$D$20, ""),IF(AND('Calcolo Overdose'!$D23&lt;&gt;"", _xlpm.v&lt;&gt;"", 'Calcolo Overdose'!$D23=_xlpm.v), "X", "")))</f>
        <v/>
      </c>
      <c r="I38" s="64" t="str">
        <f>IF(CONTROLLO!$B$13="SI", "",_xlfn.LET(_xlpm.v, _xlfn.XLOOKUP('Calcolo Overdose'!$G23, Valutazioni!$A$2:$A$20, Valutazioni!$E$2:$E$20, ""),IF(AND('Calcolo Overdose'!$D23&lt;&gt;"", _xlpm.v&lt;&gt;"", 'Calcolo Overdose'!$D23=_xlpm.v), "X", "")))</f>
        <v/>
      </c>
      <c r="J38" s="66" t="str">
        <f>IF(CONTROLLO!$B$13="SI", "",_xlfn.LET(_xlpm.v, _xlfn.XLOOKUP('Calcolo Overdose'!$G23, Valutazioni!$A$2:$A$20, Valutazioni!$F$2:$F$20, ""),IF(AND('Calcolo Overdose'!$D23&lt;&gt;"", _xlpm.v&lt;&gt;"", 'Calcolo Overdose'!$D23=_xlpm.v), "X", "")))</f>
        <v/>
      </c>
    </row>
    <row r="39" spans="1:10">
      <c r="A39" s="41" t="str">
        <f>'Calcolo Overdose'!F24</f>
        <v>informa l’infortunato di ciò che fa</v>
      </c>
      <c r="B39" s="12"/>
      <c r="C39" s="12"/>
      <c r="D39" s="12"/>
      <c r="E39" s="12"/>
      <c r="F39" s="64" t="str">
        <f>IF(CONTROLLO!$B$13="SI", "",_xlfn.LET(_xlpm.v, _xlfn.XLOOKUP('Calcolo Overdose'!$G24, Valutazioni!$A$2:$A$20, Valutazioni!$B$2:$B$20, ""),IF(AND('Calcolo Overdose'!$D24&lt;&gt;"", _xlpm.v&lt;&gt;"", 'Calcolo Overdose'!$D24=_xlpm.v), "X", "")))</f>
        <v/>
      </c>
      <c r="G39" s="64" t="str">
        <f>IF(CONTROLLO!$B$13="SI", "",_xlfn.LET(_xlpm.v, _xlfn.XLOOKUP('Calcolo Overdose'!$G24, Valutazioni!$A$2:$A$20, Valutazioni!$C$2:$C$20, ""),IF(AND('Calcolo Overdose'!$D24&lt;&gt;"", _xlpm.v&lt;&gt;"", 'Calcolo Overdose'!$D24=_xlpm.v), "X", "")))</f>
        <v/>
      </c>
      <c r="H39" s="64" t="str">
        <f>IF(CONTROLLO!$B$13="SI", "",_xlfn.LET(_xlpm.v, _xlfn.XLOOKUP('Calcolo Overdose'!$G24, Valutazioni!$A$2:$A$20, Valutazioni!$D$2:$D$20, ""),IF(AND('Calcolo Overdose'!$D24&lt;&gt;"", _xlpm.v&lt;&gt;"", 'Calcolo Overdose'!$D24=_xlpm.v), "X", "")))</f>
        <v/>
      </c>
      <c r="I39" s="64" t="str">
        <f>IF(CONTROLLO!$B$13="SI", "",_xlfn.LET(_xlpm.v, _xlfn.XLOOKUP('Calcolo Overdose'!$G24, Valutazioni!$A$2:$A$20, Valutazioni!$E$2:$E$20, ""),IF(AND('Calcolo Overdose'!$D24&lt;&gt;"", _xlpm.v&lt;&gt;"", 'Calcolo Overdose'!$D24=_xlpm.v), "X", "")))</f>
        <v/>
      </c>
      <c r="J39" s="66" t="str">
        <f>IF(CONTROLLO!$B$13="SI", "",_xlfn.LET(_xlpm.v, _xlfn.XLOOKUP('Calcolo Overdose'!$G24, Valutazioni!$A$2:$A$20, Valutazioni!$F$2:$F$20, ""),IF(AND('Calcolo Overdose'!$D24&lt;&gt;"", _xlpm.v&lt;&gt;"", 'Calcolo Overdose'!$D24=_xlpm.v), "X", "")))</f>
        <v/>
      </c>
    </row>
    <row r="40" spans="1:10">
      <c r="A40" s="41" t="str">
        <f>'Calcolo Overdose'!F25</f>
        <v>valutazione del simulatore (ti sei sentito a tuo agio?)</v>
      </c>
      <c r="B40" s="12"/>
      <c r="C40" s="12"/>
      <c r="D40" s="12"/>
      <c r="E40" s="12"/>
      <c r="F40" s="64" t="str">
        <f>IF(CONTROLLO!$B$13="SI", "",_xlfn.LET(_xlpm.v, _xlfn.XLOOKUP('Calcolo Overdose'!$G25, Valutazioni!$A$2:$A$20, Valutazioni!$B$2:$B$20, ""),IF(AND('Calcolo Overdose'!$D25&lt;&gt;"", _xlpm.v&lt;&gt;"", 'Calcolo Overdose'!$D25=_xlpm.v), "X", "")))</f>
        <v/>
      </c>
      <c r="G40" s="64" t="str">
        <f>IF(CONTROLLO!$B$13="SI", "",_xlfn.LET(_xlpm.v, _xlfn.XLOOKUP('Calcolo Overdose'!$G25, Valutazioni!$A$2:$A$20, Valutazioni!$C$2:$C$20, ""),IF(AND('Calcolo Overdose'!$D25&lt;&gt;"", _xlpm.v&lt;&gt;"", 'Calcolo Overdose'!$D25=_xlpm.v), "X", "")))</f>
        <v/>
      </c>
      <c r="H40" s="64" t="str">
        <f>IF(CONTROLLO!$B$13="SI", "",_xlfn.LET(_xlpm.v, _xlfn.XLOOKUP('Calcolo Overdose'!$G25, Valutazioni!$A$2:$A$20, Valutazioni!$D$2:$D$20, ""),IF(AND('Calcolo Overdose'!$D25&lt;&gt;"", _xlpm.v&lt;&gt;"", 'Calcolo Overdose'!$D25=_xlpm.v), "X", "")))</f>
        <v/>
      </c>
      <c r="I40" s="64" t="str">
        <f>IF(CONTROLLO!$B$13="SI", "",_xlfn.LET(_xlpm.v, _xlfn.XLOOKUP('Calcolo Overdose'!$G25, Valutazioni!$A$2:$A$20, Valutazioni!$E$2:$E$20, ""),IF(AND('Calcolo Overdose'!$D25&lt;&gt;"", _xlpm.v&lt;&gt;"", 'Calcolo Overdose'!$D25=_xlpm.v), "X", "")))</f>
        <v/>
      </c>
      <c r="J40" s="66" t="str">
        <f>IF(CONTROLLO!$B$13="SI", "",_xlfn.LET(_xlpm.v, _xlfn.XLOOKUP('Calcolo Overdose'!$G25, Valutazioni!$A$2:$A$20, Valutazioni!$F$2:$F$20, ""),IF(AND('Calcolo Overdose'!$D25&lt;&gt;"", _xlpm.v&lt;&gt;"", 'Calcolo Overdose'!$D25=_xlpm.v), "X", "")))</f>
        <v/>
      </c>
    </row>
    <row r="41" spans="1:10" ht="5.25" customHeight="1">
      <c r="A41" s="34"/>
      <c r="J41" s="36"/>
    </row>
    <row r="42" spans="1:10" ht="14.45" customHeight="1">
      <c r="A42" s="123" t="s">
        <v>765</v>
      </c>
      <c r="B42" s="116"/>
      <c r="C42" s="117"/>
      <c r="D42" s="117"/>
      <c r="E42" s="117"/>
      <c r="F42" s="117"/>
      <c r="G42" s="118"/>
      <c r="H42" s="114" t="s">
        <v>766</v>
      </c>
      <c r="I42" s="150"/>
      <c r="J42" s="151"/>
    </row>
    <row r="43" spans="1:10" ht="14.45" customHeight="1">
      <c r="A43" s="124"/>
      <c r="B43" s="119"/>
      <c r="C43" s="120"/>
      <c r="D43" s="120"/>
      <c r="E43" s="120"/>
      <c r="F43" s="120"/>
      <c r="G43" s="120"/>
      <c r="H43" s="109"/>
      <c r="I43" s="152"/>
      <c r="J43" s="153"/>
    </row>
    <row r="44" spans="1:10" ht="14.45" customHeight="1">
      <c r="A44" s="124"/>
      <c r="B44" s="119"/>
      <c r="C44" s="120"/>
      <c r="D44" s="120"/>
      <c r="E44" s="120"/>
      <c r="F44" s="120"/>
      <c r="G44" s="120"/>
      <c r="H44" s="154"/>
      <c r="I44" s="144"/>
      <c r="J44" s="155"/>
    </row>
    <row r="45" spans="1:10" ht="14.45" customHeight="1">
      <c r="A45" s="125"/>
      <c r="B45" s="121"/>
      <c r="C45" s="122"/>
      <c r="D45" s="122"/>
      <c r="E45" s="122"/>
      <c r="F45" s="122"/>
      <c r="G45" s="122"/>
      <c r="H45" s="148"/>
      <c r="I45" s="149"/>
      <c r="J45" s="156"/>
    </row>
    <row r="46" spans="1:10" ht="15">
      <c r="A46" s="103" t="s">
        <v>768</v>
      </c>
      <c r="B46" s="104"/>
      <c r="C46" s="104"/>
      <c r="D46" s="104"/>
      <c r="E46" s="104"/>
      <c r="F46" s="104"/>
      <c r="G46" s="104"/>
      <c r="H46" s="105"/>
      <c r="I46" s="105"/>
      <c r="J46" s="106"/>
    </row>
    <row r="47" spans="1:10" ht="15"/>
    <row r="49" ht="15"/>
    <row r="50" ht="15"/>
    <row r="51" ht="15"/>
    <row r="52" ht="15"/>
    <row r="53" ht="15"/>
    <row r="54" ht="15"/>
  </sheetData>
  <mergeCells count="22">
    <mergeCell ref="C1:H2"/>
    <mergeCell ref="C3:H4"/>
    <mergeCell ref="C5:H6"/>
    <mergeCell ref="A12:E13"/>
    <mergeCell ref="G9:J10"/>
    <mergeCell ref="F9:F10"/>
    <mergeCell ref="A9:B10"/>
    <mergeCell ref="A11:B11"/>
    <mergeCell ref="C11:E11"/>
    <mergeCell ref="C9:D9"/>
    <mergeCell ref="C10:D10"/>
    <mergeCell ref="A46:J46"/>
    <mergeCell ref="A15:E16"/>
    <mergeCell ref="G12:G13"/>
    <mergeCell ref="H12:H13"/>
    <mergeCell ref="J12:J13"/>
    <mergeCell ref="I12:I13"/>
    <mergeCell ref="F12:F13"/>
    <mergeCell ref="H42:J42"/>
    <mergeCell ref="H43:J45"/>
    <mergeCell ref="B42:G45"/>
    <mergeCell ref="A42:A45"/>
  </mergeCells>
  <pageMargins left="0.23622047244094491" right="0.23622047244094491" top="0.23622047244094491" bottom="0.23622047244094491" header="0.31496062992125978" footer="0"/>
  <pageSetup paperSize="9" scale="96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2F61067D-AF21-4CD7-A34F-2F4FC9B8E243}">
            <xm:f>OR('Calcolo Overdose'!$A2="",   IFERROR(INDEX(Valutazioni!$D$2:$D$20,       MATCH('Calcolo Overdose'!$G2,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H17:H40</xm:sqref>
        </x14:conditionalFormatting>
        <x14:conditionalFormatting xmlns:xm="http://schemas.microsoft.com/office/excel/2006/main">
          <x14:cfRule type="expression" priority="4" id="{AC189286-DD60-4EA7-AC24-24701DBE6C16}">
            <xm:f>OR('Calcolo Overdose'!$A2="",   IFERROR(INDEX(Valutazioni!$E$2:$E$20,       MATCH('Calcolo Overdose'!$G2,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I17:I40</xm:sqref>
        </x14:conditionalFormatting>
        <x14:conditionalFormatting xmlns:xm="http://schemas.microsoft.com/office/excel/2006/main">
          <x14:cfRule type="expression" priority="3" id="{47A7BBF8-9D7C-40B9-8D6B-7D9B05D0B9EA}">
            <xm:f>OR('Calcolo Overdose'!$A2="",   IFERROR(INDEX(Valutazioni!$F$2:$F$20,       MATCH('Calcolo Overdose'!$G2,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J17:J40</xm:sqref>
        </x14:conditionalFormatting>
        <x14:conditionalFormatting xmlns:xm="http://schemas.microsoft.com/office/excel/2006/main">
          <x14:cfRule type="expression" priority="6" id="{3D6D3852-6AA5-4617-BEB9-2D3C056D3B7B}">
            <xm:f>OR('Calcolo Overdose'!$A2="",   IFERROR(INDEX(Valutazioni!$C$2:$C$20,       MATCH('Calcolo Overdose'!$G2,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G17:G40</xm:sqref>
        </x14:conditionalFormatting>
        <x14:conditionalFormatting xmlns:xm="http://schemas.microsoft.com/office/excel/2006/main">
          <x14:cfRule type="expression" priority="1" id="{E33D3D32-A556-4ECD-9AC3-3BEEA4F4C930}">
            <xm:f>OR('Calcolo Overdose'!$A2="",   IFERROR(INDEX(Valutazioni!$B$2:$B$20,       MATCH('Calcolo Overdose'!$G2,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F17:F40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oglio6">
    <pageSetUpPr fitToPage="1"/>
  </sheetPr>
  <dimension ref="A1:J52"/>
  <sheetViews>
    <sheetView zoomScaleNormal="100" workbookViewId="0">
      <selection activeCell="A11" sqref="A11:E11"/>
    </sheetView>
  </sheetViews>
  <sheetFormatPr defaultColWidth="8.85546875" defaultRowHeight="14.45"/>
  <cols>
    <col min="1" max="2" width="9.42578125" customWidth="1"/>
    <col min="3" max="3" width="10.42578125" customWidth="1"/>
    <col min="4" max="4" width="15.5703125" customWidth="1"/>
    <col min="5" max="5" width="10.42578125" customWidth="1"/>
    <col min="6" max="10" width="9.42578125" customWidth="1"/>
  </cols>
  <sheetData>
    <row r="1" spans="1:10" ht="15">
      <c r="A1" s="61"/>
      <c r="B1" s="62"/>
      <c r="C1" s="93" t="s">
        <v>752</v>
      </c>
      <c r="D1" s="93"/>
      <c r="E1" s="93"/>
      <c r="F1" s="93"/>
      <c r="G1" s="93"/>
      <c r="H1" s="93"/>
      <c r="I1" s="62"/>
      <c r="J1" s="87"/>
    </row>
    <row r="2" spans="1:10" ht="15">
      <c r="A2" s="34"/>
      <c r="C2" s="94"/>
      <c r="D2" s="94"/>
      <c r="E2" s="94"/>
      <c r="F2" s="94"/>
      <c r="G2" s="94"/>
      <c r="H2" s="94"/>
      <c r="J2" s="36"/>
    </row>
    <row r="3" spans="1:10" ht="15">
      <c r="A3" s="34"/>
      <c r="C3" s="95" t="s">
        <v>753</v>
      </c>
      <c r="D3" s="95"/>
      <c r="E3" s="95"/>
      <c r="F3" s="95"/>
      <c r="G3" s="95"/>
      <c r="H3" s="95"/>
      <c r="J3" s="36"/>
    </row>
    <row r="4" spans="1:10" ht="15">
      <c r="A4" s="34"/>
      <c r="C4" s="95"/>
      <c r="D4" s="95"/>
      <c r="E4" s="95"/>
      <c r="F4" s="95"/>
      <c r="G4" s="95"/>
      <c r="H4" s="95"/>
      <c r="J4" s="36"/>
    </row>
    <row r="5" spans="1:10" ht="15">
      <c r="A5" s="34"/>
      <c r="C5" s="96" t="s">
        <v>754</v>
      </c>
      <c r="D5" s="96"/>
      <c r="E5" s="96"/>
      <c r="F5" s="96"/>
      <c r="G5" s="96"/>
      <c r="H5" s="96"/>
      <c r="J5" s="36"/>
    </row>
    <row r="6" spans="1:10" ht="15">
      <c r="A6" s="34"/>
      <c r="C6" s="96"/>
      <c r="D6" s="96"/>
      <c r="E6" s="96"/>
      <c r="F6" s="96"/>
      <c r="G6" s="96"/>
      <c r="H6" s="96"/>
      <c r="J6" s="36"/>
    </row>
    <row r="7" spans="1:10" ht="5.25" customHeight="1">
      <c r="A7" s="34"/>
      <c r="J7" s="36"/>
    </row>
    <row r="8" spans="1:10" ht="5.25" customHeight="1">
      <c r="A8" s="34"/>
      <c r="J8" s="36"/>
    </row>
    <row r="9" spans="1:10" ht="16.5" customHeight="1">
      <c r="A9" s="115" t="str">
        <f>ScenaAttiva &amp; TEXT(SquadraAttiva,"00")&amp; "03"</f>
        <v>A0303</v>
      </c>
      <c r="B9" s="115"/>
      <c r="C9" s="99" t="s">
        <v>715</v>
      </c>
      <c r="D9" s="100"/>
      <c r="E9" s="43" t="s">
        <v>661</v>
      </c>
      <c r="F9" s="110" t="s">
        <v>280</v>
      </c>
      <c r="G9" s="108" t="str">
        <f>IF(INDEX(tblSchede[Giudice],MATCH(3,tblSchede[SimulatoreCodice],0))="","",INDEX(tblSchede[Giudice],MATCH(3,tblSchede[SimulatoreCodice],0)))</f>
        <v/>
      </c>
      <c r="H9" s="146"/>
      <c r="I9" s="146"/>
      <c r="J9" s="146"/>
    </row>
    <row r="10" spans="1:10" ht="14.25" customHeight="1">
      <c r="A10" s="115"/>
      <c r="B10" s="115"/>
      <c r="C10" s="101" t="str">
        <f t="array" ref="C10">ScenaAttiva</f>
        <v>A</v>
      </c>
      <c r="D10" s="102"/>
      <c r="E10" s="51">
        <f>IF(INDEX(tblSchede[SimulatoreCodice],MATCH(3,tblSchede[SimulatoreCodice],0))="M","",INDEX(tblSchede[SimulatoreCodice],MATCH(3,tblSchede[SimulatoreCodice],0)))</f>
        <v>3</v>
      </c>
      <c r="F10" s="146"/>
      <c r="G10" s="147"/>
      <c r="H10" s="147"/>
      <c r="I10" s="147"/>
      <c r="J10" s="147"/>
    </row>
    <row r="11" spans="1:10" ht="14.25" customHeight="1">
      <c r="A11" s="97" t="s">
        <v>278</v>
      </c>
      <c r="B11" s="97"/>
      <c r="C11" s="98" t="str">
        <f>IFERROR(CONTROLLO!$B$8 &amp; "-" &amp; INDEX(tblSquadre[Squadra_Nome],MATCH(CONTROLLO!$B$8,tblSquadre[SquadraID],0)),"")</f>
        <v>3-Liguria 1</v>
      </c>
      <c r="D11" s="98"/>
      <c r="E11" s="98"/>
      <c r="G11" s="43" t="s">
        <v>663</v>
      </c>
      <c r="H11" s="43" t="s">
        <v>664</v>
      </c>
      <c r="I11" s="43" t="s">
        <v>665</v>
      </c>
      <c r="J11" s="42" t="s">
        <v>698</v>
      </c>
    </row>
    <row r="12" spans="1:10" ht="14.25" customHeight="1">
      <c r="A12" s="107" t="str">
        <f t="array" ref="A12">TitoloScenaAttivo</f>
        <v>Una Scuola Stupefacente</v>
      </c>
      <c r="B12" s="146"/>
      <c r="C12" s="146"/>
      <c r="D12" s="146"/>
      <c r="E12" s="146"/>
      <c r="F12" s="111" t="s">
        <v>767</v>
      </c>
      <c r="G12" s="112" t="str">
        <f>INDEX(tblSchede[Coscienza],MATCH(3,tblSchede[SimulatoreCodice],0))</f>
        <v xml:space="preserve">V </v>
      </c>
      <c r="H12" s="112">
        <f>INDEX(tblSchede[FR],MATCH(3,tblSchede[SimulatoreCodice],0))</f>
        <v>26</v>
      </c>
      <c r="I12" s="112">
        <f>INDEX(tblSchede[FC],MATCH(3,tblSchede[SimulatoreCodice],0))</f>
        <v>124</v>
      </c>
      <c r="J12" s="113" t="str">
        <f>INDEX(tblSchede[Cute],MATCH(3,tblSchede[SimulatoreCodice],0))</f>
        <v>Pallida, sudata</v>
      </c>
    </row>
    <row r="13" spans="1:10" ht="14.25" customHeight="1">
      <c r="A13" s="146"/>
      <c r="B13" s="146"/>
      <c r="C13" s="146"/>
      <c r="D13" s="146"/>
      <c r="E13" s="146"/>
      <c r="F13" s="146"/>
      <c r="G13" s="146"/>
      <c r="H13" s="146"/>
      <c r="I13" s="146"/>
      <c r="J13" s="146"/>
    </row>
    <row r="14" spans="1:10" ht="3" customHeight="1">
      <c r="A14" s="34"/>
      <c r="J14" s="36"/>
    </row>
    <row r="15" spans="1:10" ht="50.25" customHeight="1">
      <c r="A15" s="129" t="str">
        <f>INDEX(tblSchede[Patologia],MATCH(3,tblSchede[SimulatoreCodice],0))</f>
        <v>TC</v>
      </c>
      <c r="B15" s="144"/>
      <c r="C15" s="144"/>
      <c r="D15" s="144"/>
      <c r="E15" s="144"/>
      <c r="F15" s="44" t="s">
        <v>755</v>
      </c>
      <c r="G15" s="44" t="s">
        <v>756</v>
      </c>
      <c r="H15" s="45" t="s">
        <v>757</v>
      </c>
      <c r="I15" s="46" t="s">
        <v>758</v>
      </c>
      <c r="J15" s="46" t="s">
        <v>759</v>
      </c>
    </row>
    <row r="16" spans="1:10" ht="15.95" customHeight="1">
      <c r="A16" s="154"/>
      <c r="B16" s="144"/>
      <c r="C16" s="144"/>
      <c r="D16" s="144"/>
      <c r="E16" s="144"/>
      <c r="F16" s="47" t="s">
        <v>760</v>
      </c>
      <c r="G16" s="47" t="s">
        <v>761</v>
      </c>
      <c r="H16" s="48" t="s">
        <v>762</v>
      </c>
      <c r="I16" s="49" t="s">
        <v>763</v>
      </c>
      <c r="J16" s="49" t="s">
        <v>764</v>
      </c>
    </row>
    <row r="17" spans="1:10">
      <c r="A17" s="39" t="str">
        <f>'Calcolo TC'!F2</f>
        <v>COMPORTAMENTO SULLA SCENA</v>
      </c>
      <c r="B17" s="40"/>
      <c r="C17" s="40"/>
      <c r="D17" s="40"/>
      <c r="E17" s="40"/>
      <c r="F17" s="64" t="str">
        <f>IF(CONTROLLO!$B$13="SI", "",_xlfn.LET(_xlpm.v, _xlfn.XLOOKUP('Calcolo TC'!$G2, Valutazioni!$A$2:$A$20, Valutazioni!$B$2:$B$20, ""),IF(AND('Calcolo TC'!$D2&lt;&gt;"", _xlpm.v&lt;&gt;"", 'Calcolo TC'!$D2=_xlpm.v), "X", "")))</f>
        <v/>
      </c>
      <c r="G17" s="64" t="str">
        <f>IF(CONTROLLO!$B$13="SI", "",_xlfn.LET(_xlpm.v, _xlfn.XLOOKUP('Calcolo TC'!$G2, Valutazioni!$A$2:$A$20, Valutazioni!$C$2:$C$20, ""),IF(AND('Calcolo TC'!$D2&lt;&gt;"", _xlpm.v&lt;&gt;"", 'Calcolo TC'!$D2=_xlpm.v), "X", "")))</f>
        <v/>
      </c>
      <c r="H17" s="64" t="str">
        <f>IF(CONTROLLO!$B$13="SI", "",_xlfn.LET(_xlpm.v, _xlfn.XLOOKUP('Calcolo TC'!$G2, Valutazioni!$A$2:$A$20, Valutazioni!$D$2:$D$20, ""),IF(AND('Calcolo TC'!$D2&lt;&gt;"", _xlpm.v&lt;&gt;"", 'Calcolo TC'!$D2=_xlpm.v), "X", "")))</f>
        <v/>
      </c>
      <c r="I17" s="64" t="str">
        <f>IF(CONTROLLO!$B$13="SI", "",_xlfn.LET(_xlpm.v, _xlfn.XLOOKUP('Calcolo TC'!$G2, Valutazioni!$A$2:$A$20, Valutazioni!$E$2:$E$20, ""),IF(AND('Calcolo TC'!$D2&lt;&gt;"", _xlpm.v&lt;&gt;"", 'Calcolo TC'!$D2=_xlpm.v), "X", "")))</f>
        <v/>
      </c>
      <c r="J17" s="66" t="str">
        <f>IF(CONTROLLO!$B$13="SI", "",_xlfn.LET(_xlpm.v, _xlfn.XLOOKUP('Calcolo TC'!$G2, Valutazioni!$A$2:$A$20, Valutazioni!$F$2:$F$20, ""),IF(AND('Calcolo TC'!$D2&lt;&gt;"", _xlpm.v&lt;&gt;"", 'Calcolo TC'!$D2=_xlpm.v), "X", "")))</f>
        <v/>
      </c>
    </row>
    <row r="18" spans="1:10">
      <c r="A18" s="41" t="str">
        <f>'Calcolo TC'!F3</f>
        <v>Indossa  i D.P.I. In scena</v>
      </c>
      <c r="B18" s="12"/>
      <c r="C18" s="12"/>
      <c r="D18" s="12"/>
      <c r="E18" s="12"/>
      <c r="F18" s="64" t="str">
        <f>IF(CONTROLLO!$B$13="SI", "",_xlfn.LET(_xlpm.v, _xlfn.XLOOKUP('Calcolo TC'!$G3, Valutazioni!$A$2:$A$20, Valutazioni!$B$2:$B$20, ""),IF(AND('Calcolo TC'!$D3&lt;&gt;"", _xlpm.v&lt;&gt;"", 'Calcolo TC'!$D3=_xlpm.v), "X", "")))</f>
        <v/>
      </c>
      <c r="G18" s="64" t="str">
        <f>IF(CONTROLLO!$B$13="SI", "",_xlfn.LET(_xlpm.v, _xlfn.XLOOKUP('Calcolo TC'!$G3, Valutazioni!$A$2:$A$20, Valutazioni!$C$2:$C$20, ""),IF(AND('Calcolo TC'!$D3&lt;&gt;"", _xlpm.v&lt;&gt;"", 'Calcolo TC'!$D3=_xlpm.v), "X", "")))</f>
        <v/>
      </c>
      <c r="H18" s="64" t="str">
        <f>IF(CONTROLLO!$B$13="SI", "",_xlfn.LET(_xlpm.v, _xlfn.XLOOKUP('Calcolo TC'!$G3, Valutazioni!$A$2:$A$20, Valutazioni!$D$2:$D$20, ""),IF(AND('Calcolo TC'!$D3&lt;&gt;"", _xlpm.v&lt;&gt;"", 'Calcolo TC'!$D3=_xlpm.v), "X", "")))</f>
        <v/>
      </c>
      <c r="I18" s="64" t="str">
        <f>IF(CONTROLLO!$B$13="SI", "",_xlfn.LET(_xlpm.v, _xlfn.XLOOKUP('Calcolo TC'!$G3, Valutazioni!$A$2:$A$20, Valutazioni!$E$2:$E$20, ""),IF(AND('Calcolo TC'!$D3&lt;&gt;"", _xlpm.v&lt;&gt;"", 'Calcolo TC'!$D3=_xlpm.v), "X", "")))</f>
        <v/>
      </c>
      <c r="J18" s="66" t="str">
        <f>IF(CONTROLLO!$B$13="SI", "",_xlfn.LET(_xlpm.v, _xlfn.XLOOKUP('Calcolo TC'!$G3, Valutazioni!$A$2:$A$20, Valutazioni!$F$2:$F$20, ""),IF(AND('Calcolo TC'!$D3&lt;&gt;"", _xlpm.v&lt;&gt;"", 'Calcolo TC'!$D3=_xlpm.v), "X", "")))</f>
        <v/>
      </c>
    </row>
    <row r="19" spans="1:10">
      <c r="A19" s="41" t="str">
        <f>'Calcolo TC'!F4</f>
        <v>valuta i rischi</v>
      </c>
      <c r="B19" s="12"/>
      <c r="C19" s="12"/>
      <c r="D19" s="12"/>
      <c r="E19" s="12"/>
      <c r="F19" s="64" t="str">
        <f>IF(CONTROLLO!$B$13="SI", "",_xlfn.LET(_xlpm.v, _xlfn.XLOOKUP('Calcolo TC'!$G4, Valutazioni!$A$2:$A$20, Valutazioni!$B$2:$B$20, ""),IF(AND('Calcolo TC'!$D4&lt;&gt;"", _xlpm.v&lt;&gt;"", 'Calcolo TC'!$D4=_xlpm.v), "X", "")))</f>
        <v/>
      </c>
      <c r="G19" s="64" t="str">
        <f>IF(CONTROLLO!$B$13="SI", "",_xlfn.LET(_xlpm.v, _xlfn.XLOOKUP('Calcolo TC'!$G4, Valutazioni!$A$2:$A$20, Valutazioni!$C$2:$C$20, ""),IF(AND('Calcolo TC'!$D4&lt;&gt;"", _xlpm.v&lt;&gt;"", 'Calcolo TC'!$D4=_xlpm.v), "X", "")))</f>
        <v/>
      </c>
      <c r="H19" s="64" t="str">
        <f>IF(CONTROLLO!$B$13="SI", "",_xlfn.LET(_xlpm.v, _xlfn.XLOOKUP('Calcolo TC'!$G4, Valutazioni!$A$2:$A$20, Valutazioni!$D$2:$D$20, ""),IF(AND('Calcolo TC'!$D4&lt;&gt;"", _xlpm.v&lt;&gt;"", 'Calcolo TC'!$D4=_xlpm.v), "X", "")))</f>
        <v/>
      </c>
      <c r="I19" s="64" t="str">
        <f>IF(CONTROLLO!$B$13="SI", "",_xlfn.LET(_xlpm.v, _xlfn.XLOOKUP('Calcolo TC'!$G4, Valutazioni!$A$2:$A$20, Valutazioni!$E$2:$E$20, ""),IF(AND('Calcolo TC'!$D4&lt;&gt;"", _xlpm.v&lt;&gt;"", 'Calcolo TC'!$D4=_xlpm.v), "X", "")))</f>
        <v/>
      </c>
      <c r="J19" s="66" t="str">
        <f>IF(CONTROLLO!$B$13="SI", "",_xlfn.LET(_xlpm.v, _xlfn.XLOOKUP('Calcolo TC'!$G4, Valutazioni!$A$2:$A$20, Valutazioni!$F$2:$F$20, ""),IF(AND('Calcolo TC'!$D4&lt;&gt;"", _xlpm.v&lt;&gt;"", 'Calcolo TC'!$D4=_xlpm.v), "X", "")))</f>
        <v/>
      </c>
    </row>
    <row r="20" spans="1:10">
      <c r="A20" s="41" t="str">
        <f>'Calcolo TC'!F5</f>
        <v>Rende sicura la scena</v>
      </c>
      <c r="B20" s="12"/>
      <c r="C20" s="12"/>
      <c r="D20" s="12"/>
      <c r="E20" s="12"/>
      <c r="F20" s="64" t="str">
        <f>IF(CONTROLLO!$B$13="SI", "",_xlfn.LET(_xlpm.v, _xlfn.XLOOKUP('Calcolo TC'!$G5, Valutazioni!$A$2:$A$20, Valutazioni!$B$2:$B$20, ""),IF(AND('Calcolo TC'!$D5&lt;&gt;"", _xlpm.v&lt;&gt;"", 'Calcolo TC'!$D5=_xlpm.v), "X", "")))</f>
        <v/>
      </c>
      <c r="G20" s="64" t="str">
        <f>IF(CONTROLLO!$B$13="SI", "",_xlfn.LET(_xlpm.v, _xlfn.XLOOKUP('Calcolo TC'!$G5, Valutazioni!$A$2:$A$20, Valutazioni!$C$2:$C$20, ""),IF(AND('Calcolo TC'!$D5&lt;&gt;"", _xlpm.v&lt;&gt;"", 'Calcolo TC'!$D5=_xlpm.v), "X", "")))</f>
        <v/>
      </c>
      <c r="H20" s="64" t="str">
        <f>IF(CONTROLLO!$B$13="SI", "",_xlfn.LET(_xlpm.v, _xlfn.XLOOKUP('Calcolo TC'!$G5, Valutazioni!$A$2:$A$20, Valutazioni!$D$2:$D$20, ""),IF(AND('Calcolo TC'!$D5&lt;&gt;"", _xlpm.v&lt;&gt;"", 'Calcolo TC'!$D5=_xlpm.v), "X", "")))</f>
        <v/>
      </c>
      <c r="I20" s="64" t="str">
        <f>IF(CONTROLLO!$B$13="SI", "",_xlfn.LET(_xlpm.v, _xlfn.XLOOKUP('Calcolo TC'!$G5, Valutazioni!$A$2:$A$20, Valutazioni!$E$2:$E$20, ""),IF(AND('Calcolo TC'!$D5&lt;&gt;"", _xlpm.v&lt;&gt;"", 'Calcolo TC'!$D5=_xlpm.v), "X", "")))</f>
        <v/>
      </c>
      <c r="J20" s="66" t="str">
        <f>IF(CONTROLLO!$B$13="SI", "",_xlfn.LET(_xlpm.v, _xlfn.XLOOKUP('Calcolo TC'!$G5, Valutazioni!$A$2:$A$20, Valutazioni!$F$2:$F$20, ""),IF(AND('Calcolo TC'!$D5&lt;&gt;"", _xlpm.v&lt;&gt;"", 'Calcolo TC'!$D5=_xlpm.v), "X", "")))</f>
        <v/>
      </c>
    </row>
    <row r="21" spans="1:10">
      <c r="A21" s="41" t="str">
        <f>'Calcolo TC'!F6</f>
        <v>si presenta come soccorritore</v>
      </c>
      <c r="B21" s="12"/>
      <c r="C21" s="12"/>
      <c r="D21" s="12"/>
      <c r="E21" s="12"/>
      <c r="F21" s="64" t="str">
        <f>IF(CONTROLLO!$B$13="SI", "",_xlfn.LET(_xlpm.v, _xlfn.XLOOKUP('Calcolo TC'!$G6, Valutazioni!$A$2:$A$20, Valutazioni!$B$2:$B$20, ""),IF(AND('Calcolo TC'!$D6&lt;&gt;"", _xlpm.v&lt;&gt;"", 'Calcolo TC'!$D6=_xlpm.v), "X", "")))</f>
        <v/>
      </c>
      <c r="G21" s="64" t="str">
        <f>IF(CONTROLLO!$B$13="SI", "",_xlfn.LET(_xlpm.v, _xlfn.XLOOKUP('Calcolo TC'!$G6, Valutazioni!$A$2:$A$20, Valutazioni!$C$2:$C$20, ""),IF(AND('Calcolo TC'!$D6&lt;&gt;"", _xlpm.v&lt;&gt;"", 'Calcolo TC'!$D6=_xlpm.v), "X", "")))</f>
        <v/>
      </c>
      <c r="H21" s="64" t="str">
        <f>IF(CONTROLLO!$B$13="SI", "",_xlfn.LET(_xlpm.v, _xlfn.XLOOKUP('Calcolo TC'!$G6, Valutazioni!$A$2:$A$20, Valutazioni!$D$2:$D$20, ""),IF(AND('Calcolo TC'!$D6&lt;&gt;"", _xlpm.v&lt;&gt;"", 'Calcolo TC'!$D6=_xlpm.v), "X", "")))</f>
        <v/>
      </c>
      <c r="I21" s="64" t="str">
        <f>IF(CONTROLLO!$B$13="SI", "",_xlfn.LET(_xlpm.v, _xlfn.XLOOKUP('Calcolo TC'!$G6, Valutazioni!$A$2:$A$20, Valutazioni!$E$2:$E$20, ""),IF(AND('Calcolo TC'!$D6&lt;&gt;"", _xlpm.v&lt;&gt;"", 'Calcolo TC'!$D6=_xlpm.v), "X", "")))</f>
        <v/>
      </c>
      <c r="J21" s="66" t="str">
        <f>IF(CONTROLLO!$B$13="SI", "",_xlfn.LET(_xlpm.v, _xlfn.XLOOKUP('Calcolo TC'!$G6, Valutazioni!$A$2:$A$20, Valutazioni!$F$2:$F$20, ""),IF(AND('Calcolo TC'!$D6&lt;&gt;"", _xlpm.v&lt;&gt;"", 'Calcolo TC'!$D6=_xlpm.v), "X", "")))</f>
        <v/>
      </c>
    </row>
    <row r="22" spans="1:10">
      <c r="A22" s="41" t="str">
        <f>'Calcolo TC'!F7</f>
        <v>parla con la persona/astanti  informandosi sull’accaduto</v>
      </c>
      <c r="B22" s="12"/>
      <c r="C22" s="12"/>
      <c r="D22" s="12"/>
      <c r="E22" s="12"/>
      <c r="F22" s="64" t="str">
        <f>IF(CONTROLLO!$B$13="SI", "",_xlfn.LET(_xlpm.v, _xlfn.XLOOKUP('Calcolo TC'!$G7, Valutazioni!$A$2:$A$20, Valutazioni!$B$2:$B$20, ""),IF(AND('Calcolo TC'!$D7&lt;&gt;"", _xlpm.v&lt;&gt;"", 'Calcolo TC'!$D7=_xlpm.v), "X", "")))</f>
        <v/>
      </c>
      <c r="G22" s="64" t="str">
        <f>IF(CONTROLLO!$B$13="SI", "",_xlfn.LET(_xlpm.v, _xlfn.XLOOKUP('Calcolo TC'!$G7, Valutazioni!$A$2:$A$20, Valutazioni!$C$2:$C$20, ""),IF(AND('Calcolo TC'!$D7&lt;&gt;"", _xlpm.v&lt;&gt;"", 'Calcolo TC'!$D7=_xlpm.v), "X", "")))</f>
        <v/>
      </c>
      <c r="H22" s="64" t="str">
        <f>IF(CONTROLLO!$B$13="SI", "",_xlfn.LET(_xlpm.v, _xlfn.XLOOKUP('Calcolo TC'!$G7, Valutazioni!$A$2:$A$20, Valutazioni!$D$2:$D$20, ""),IF(AND('Calcolo TC'!$D7&lt;&gt;"", _xlpm.v&lt;&gt;"", 'Calcolo TC'!$D7=_xlpm.v), "X", "")))</f>
        <v/>
      </c>
      <c r="I22" s="64" t="str">
        <f>IF(CONTROLLO!$B$13="SI", "",_xlfn.LET(_xlpm.v, _xlfn.XLOOKUP('Calcolo TC'!$G7, Valutazioni!$A$2:$A$20, Valutazioni!$E$2:$E$20, ""),IF(AND('Calcolo TC'!$D7&lt;&gt;"", _xlpm.v&lt;&gt;"", 'Calcolo TC'!$D7=_xlpm.v), "X", "")))</f>
        <v/>
      </c>
      <c r="J22" s="66" t="str">
        <f>IF(CONTROLLO!$B$13="SI", "",_xlfn.LET(_xlpm.v, _xlfn.XLOOKUP('Calcolo TC'!$G7, Valutazioni!$A$2:$A$20, Valutazioni!$F$2:$F$20, ""),IF(AND('Calcolo TC'!$D7&lt;&gt;"", _xlpm.v&lt;&gt;"", 'Calcolo TC'!$D7=_xlpm.v), "X", "")))</f>
        <v/>
      </c>
    </row>
    <row r="23" spans="1:10">
      <c r="A23" s="41" t="str">
        <f>'Calcolo TC'!F8</f>
        <v>atteggiamento professionale (cortese ma determinato)</v>
      </c>
      <c r="B23" s="12"/>
      <c r="C23" s="12"/>
      <c r="D23" s="12"/>
      <c r="E23" s="12"/>
      <c r="F23" s="64" t="str">
        <f>IF(CONTROLLO!$B$13="SI", "",_xlfn.LET(_xlpm.v, _xlfn.XLOOKUP('Calcolo TC'!$G8, Valutazioni!$A$2:$A$20, Valutazioni!$B$2:$B$20, ""),IF(AND('Calcolo TC'!$D8&lt;&gt;"", _xlpm.v&lt;&gt;"", 'Calcolo TC'!$D8=_xlpm.v), "X", "")))</f>
        <v/>
      </c>
      <c r="G23" s="64" t="str">
        <f>IF(CONTROLLO!$B$13="SI", "",_xlfn.LET(_xlpm.v, _xlfn.XLOOKUP('Calcolo TC'!$G8, Valutazioni!$A$2:$A$20, Valutazioni!$C$2:$C$20, ""),IF(AND('Calcolo TC'!$D8&lt;&gt;"", _xlpm.v&lt;&gt;"", 'Calcolo TC'!$D8=_xlpm.v), "X", "")))</f>
        <v/>
      </c>
      <c r="H23" s="64" t="str">
        <f>IF(CONTROLLO!$B$13="SI", "",_xlfn.LET(_xlpm.v, _xlfn.XLOOKUP('Calcolo TC'!$G8, Valutazioni!$A$2:$A$20, Valutazioni!$D$2:$D$20, ""),IF(AND('Calcolo TC'!$D8&lt;&gt;"", _xlpm.v&lt;&gt;"", 'Calcolo TC'!$D8=_xlpm.v), "X", "")))</f>
        <v/>
      </c>
      <c r="I23" s="64" t="str">
        <f>IF(CONTROLLO!$B$13="SI", "",_xlfn.LET(_xlpm.v, _xlfn.XLOOKUP('Calcolo TC'!$G8, Valutazioni!$A$2:$A$20, Valutazioni!$E$2:$E$20, ""),IF(AND('Calcolo TC'!$D8&lt;&gt;"", _xlpm.v&lt;&gt;"", 'Calcolo TC'!$D8=_xlpm.v), "X", "")))</f>
        <v/>
      </c>
      <c r="J23" s="66" t="str">
        <f>IF(CONTROLLO!$B$13="SI", "",_xlfn.LET(_xlpm.v, _xlfn.XLOOKUP('Calcolo TC'!$G8, Valutazioni!$A$2:$A$20, Valutazioni!$F$2:$F$20, ""),IF(AND('Calcolo TC'!$D8&lt;&gt;"", _xlpm.v&lt;&gt;"", 'Calcolo TC'!$D8=_xlpm.v), "X", "")))</f>
        <v/>
      </c>
    </row>
    <row r="24" spans="1:10">
      <c r="A24" s="41" t="str">
        <f>'Calcolo TC'!F9</f>
        <v>mantiene il contatto visivo con il paziente</v>
      </c>
      <c r="B24" s="12"/>
      <c r="C24" s="12"/>
      <c r="D24" s="12"/>
      <c r="E24" s="12"/>
      <c r="F24" s="64" t="str">
        <f>IF(CONTROLLO!$B$13="SI", "",_xlfn.LET(_xlpm.v, _xlfn.XLOOKUP('Calcolo TC'!$G9, Valutazioni!$A$2:$A$20, Valutazioni!$B$2:$B$20, ""),IF(AND('Calcolo TC'!$D9&lt;&gt;"", _xlpm.v&lt;&gt;"", 'Calcolo TC'!$D9=_xlpm.v), "X", "")))</f>
        <v/>
      </c>
      <c r="G24" s="64" t="str">
        <f>IF(CONTROLLO!$B$13="SI", "",_xlfn.LET(_xlpm.v, _xlfn.XLOOKUP('Calcolo TC'!$G9, Valutazioni!$A$2:$A$20, Valutazioni!$C$2:$C$20, ""),IF(AND('Calcolo TC'!$D9&lt;&gt;"", _xlpm.v&lt;&gt;"", 'Calcolo TC'!$D9=_xlpm.v), "X", "")))</f>
        <v/>
      </c>
      <c r="H24" s="64" t="str">
        <f>IF(CONTROLLO!$B$13="SI", "",_xlfn.LET(_xlpm.v, _xlfn.XLOOKUP('Calcolo TC'!$G9, Valutazioni!$A$2:$A$20, Valutazioni!$D$2:$D$20, ""),IF(AND('Calcolo TC'!$D9&lt;&gt;"", _xlpm.v&lt;&gt;"", 'Calcolo TC'!$D9=_xlpm.v), "X", "")))</f>
        <v/>
      </c>
      <c r="I24" s="64" t="str">
        <f>IF(CONTROLLO!$B$13="SI", "",_xlfn.LET(_xlpm.v, _xlfn.XLOOKUP('Calcolo TC'!$G9, Valutazioni!$A$2:$A$20, Valutazioni!$E$2:$E$20, ""),IF(AND('Calcolo TC'!$D9&lt;&gt;"", _xlpm.v&lt;&gt;"", 'Calcolo TC'!$D9=_xlpm.v), "X", "")))</f>
        <v/>
      </c>
      <c r="J24" s="66" t="str">
        <f>IF(CONTROLLO!$B$13="SI", "",_xlfn.LET(_xlpm.v, _xlfn.XLOOKUP('Calcolo TC'!$G9, Valutazioni!$A$2:$A$20, Valutazioni!$F$2:$F$20, ""),IF(AND('Calcolo TC'!$D9&lt;&gt;"", _xlpm.v&lt;&gt;"", 'Calcolo TC'!$D9=_xlpm.v), "X", "")))</f>
        <v/>
      </c>
    </row>
    <row r="25" spans="1:10">
      <c r="A25" s="41" t="str">
        <f>'Calcolo TC'!F10</f>
        <v>consenso informato</v>
      </c>
      <c r="B25" s="12"/>
      <c r="C25" s="12"/>
      <c r="D25" s="12"/>
      <c r="E25" s="12"/>
      <c r="F25" s="64" t="str">
        <f>IF(CONTROLLO!$B$13="SI", "",_xlfn.LET(_xlpm.v, _xlfn.XLOOKUP('Calcolo TC'!$G10, Valutazioni!$A$2:$A$20, Valutazioni!$B$2:$B$20, ""),IF(AND('Calcolo TC'!$D10&lt;&gt;"", _xlpm.v&lt;&gt;"", 'Calcolo TC'!$D10=_xlpm.v), "X", "")))</f>
        <v/>
      </c>
      <c r="G25" s="64" t="str">
        <f>IF(CONTROLLO!$B$13="SI", "",_xlfn.LET(_xlpm.v, _xlfn.XLOOKUP('Calcolo TC'!$G10, Valutazioni!$A$2:$A$20, Valutazioni!$C$2:$C$20, ""),IF(AND('Calcolo TC'!$D10&lt;&gt;"", _xlpm.v&lt;&gt;"", 'Calcolo TC'!$D10=_xlpm.v), "X", "")))</f>
        <v/>
      </c>
      <c r="H25" s="64" t="str">
        <f>IF(CONTROLLO!$B$13="SI", "",_xlfn.LET(_xlpm.v, _xlfn.XLOOKUP('Calcolo TC'!$G10, Valutazioni!$A$2:$A$20, Valutazioni!$D$2:$D$20, ""),IF(AND('Calcolo TC'!$D10&lt;&gt;"", _xlpm.v&lt;&gt;"", 'Calcolo TC'!$D10=_xlpm.v), "X", "")))</f>
        <v/>
      </c>
      <c r="I25" s="64" t="str">
        <f>IF(CONTROLLO!$B$13="SI", "",_xlfn.LET(_xlpm.v, _xlfn.XLOOKUP('Calcolo TC'!$G10, Valutazioni!$A$2:$A$20, Valutazioni!$E$2:$E$20, ""),IF(AND('Calcolo TC'!$D10&lt;&gt;"", _xlpm.v&lt;&gt;"", 'Calcolo TC'!$D10=_xlpm.v), "X", "")))</f>
        <v/>
      </c>
      <c r="J25" s="66" t="str">
        <f>IF(CONTROLLO!$B$13="SI", "",_xlfn.LET(_xlpm.v, _xlfn.XLOOKUP('Calcolo TC'!$G10, Valutazioni!$A$2:$A$20, Valutazioni!$F$2:$F$20, ""),IF(AND('Calcolo TC'!$D10&lt;&gt;"", _xlpm.v&lt;&gt;"", 'Calcolo TC'!$D10=_xlpm.v), "X", "")))</f>
        <v/>
      </c>
    </row>
    <row r="26" spans="1:10">
      <c r="A26" s="85" t="str">
        <f>'Calcolo TC'!F11</f>
        <v>MISURE DI PRIMO SOCCORSO</v>
      </c>
      <c r="B26" s="86"/>
      <c r="C26" s="86"/>
      <c r="D26" s="86"/>
      <c r="E26" s="86"/>
      <c r="F26" s="64" t="str">
        <f>IF(CONTROLLO!$B$13="SI", "",_xlfn.LET(_xlpm.v, _xlfn.XLOOKUP('Calcolo TC'!$G11, Valutazioni!$A$2:$A$20, Valutazioni!$B$2:$B$20, ""),IF(AND('Calcolo TC'!$D11&lt;&gt;"", _xlpm.v&lt;&gt;"", 'Calcolo TC'!$D11=_xlpm.v), "X", "")))</f>
        <v/>
      </c>
      <c r="G26" s="64" t="str">
        <f>IF(CONTROLLO!$B$13="SI", "",_xlfn.LET(_xlpm.v, _xlfn.XLOOKUP('Calcolo TC'!$G11, Valutazioni!$A$2:$A$20, Valutazioni!$C$2:$C$20, ""),IF(AND('Calcolo TC'!$D11&lt;&gt;"", _xlpm.v&lt;&gt;"", 'Calcolo TC'!$D11=_xlpm.v), "X", "")))</f>
        <v/>
      </c>
      <c r="H26" s="64" t="str">
        <f>IF(CONTROLLO!$B$13="SI", "",_xlfn.LET(_xlpm.v, _xlfn.XLOOKUP('Calcolo TC'!$G11, Valutazioni!$A$2:$A$20, Valutazioni!$D$2:$D$20, ""),IF(AND('Calcolo TC'!$D11&lt;&gt;"", _xlpm.v&lt;&gt;"", 'Calcolo TC'!$D11=_xlpm.v), "X", "")))</f>
        <v/>
      </c>
      <c r="I26" s="64" t="str">
        <f>IF(CONTROLLO!$B$13="SI", "",_xlfn.LET(_xlpm.v, _xlfn.XLOOKUP('Calcolo TC'!$G11, Valutazioni!$A$2:$A$20, Valutazioni!$E$2:$E$20, ""),IF(AND('Calcolo TC'!$D11&lt;&gt;"", _xlpm.v&lt;&gt;"", 'Calcolo TC'!$D11=_xlpm.v), "X", "")))</f>
        <v/>
      </c>
      <c r="J26" s="66" t="str">
        <f>IF(CONTROLLO!$B$13="SI", "",_xlfn.LET(_xlpm.v, _xlfn.XLOOKUP('Calcolo TC'!$G11, Valutazioni!$A$2:$A$20, Valutazioni!$F$2:$F$20, ""),IF(AND('Calcolo TC'!$D11&lt;&gt;"", _xlpm.v&lt;&gt;"", 'Calcolo TC'!$D11=_xlpm.v), "X", "")))</f>
        <v/>
      </c>
    </row>
    <row r="27" spans="1:10">
      <c r="A27" s="41" t="str">
        <f>'Calcolo TC'!F12</f>
        <v>Ferma il capo e allinea il corpo</v>
      </c>
      <c r="B27" s="12"/>
      <c r="C27" s="12"/>
      <c r="D27" s="12"/>
      <c r="E27" s="12"/>
      <c r="F27" s="64" t="str">
        <f>IF(CONTROLLO!$B$13="SI", "",_xlfn.LET(_xlpm.v, _xlfn.XLOOKUP('Calcolo TC'!$G12, Valutazioni!$A$2:$A$20, Valutazioni!$B$2:$B$20, ""),IF(AND('Calcolo TC'!$D12&lt;&gt;"", _xlpm.v&lt;&gt;"", 'Calcolo TC'!$D12=_xlpm.v), "X", "")))</f>
        <v/>
      </c>
      <c r="G27" s="64" t="str">
        <f>IF(CONTROLLO!$B$13="SI", "",_xlfn.LET(_xlpm.v, _xlfn.XLOOKUP('Calcolo TC'!$G12, Valutazioni!$A$2:$A$20, Valutazioni!$C$2:$C$20, ""),IF(AND('Calcolo TC'!$D12&lt;&gt;"", _xlpm.v&lt;&gt;"", 'Calcolo TC'!$D12=_xlpm.v), "X", "")))</f>
        <v/>
      </c>
      <c r="H27" s="64" t="str">
        <f>IF(CONTROLLO!$B$13="SI", "",_xlfn.LET(_xlpm.v, _xlfn.XLOOKUP('Calcolo TC'!$G12, Valutazioni!$A$2:$A$20, Valutazioni!$D$2:$D$20, ""),IF(AND('Calcolo TC'!$D12&lt;&gt;"", _xlpm.v&lt;&gt;"", 'Calcolo TC'!$D12=_xlpm.v), "X", "")))</f>
        <v/>
      </c>
      <c r="I27" s="64" t="str">
        <f>IF(CONTROLLO!$B$13="SI", "",_xlfn.LET(_xlpm.v, _xlfn.XLOOKUP('Calcolo TC'!$G12, Valutazioni!$A$2:$A$20, Valutazioni!$E$2:$E$20, ""),IF(AND('Calcolo TC'!$D12&lt;&gt;"", _xlpm.v&lt;&gt;"", 'Calcolo TC'!$D12=_xlpm.v), "X", "")))</f>
        <v/>
      </c>
      <c r="J27" s="66" t="str">
        <f>IF(CONTROLLO!$B$13="SI", "",_xlfn.LET(_xlpm.v, _xlfn.XLOOKUP('Calcolo TC'!$G12, Valutazioni!$A$2:$A$20, Valutazioni!$F$2:$F$20, ""),IF(AND('Calcolo TC'!$D12&lt;&gt;"", _xlpm.v&lt;&gt;"", 'Calcolo TC'!$D12=_xlpm.v), "X", "")))</f>
        <v/>
      </c>
    </row>
    <row r="28" spans="1:10">
      <c r="A28" s="41" t="str">
        <f>'Calcolo TC'!F13</f>
        <v>immobilizzazione solida del capo (collarino + mani o altro)</v>
      </c>
      <c r="B28" s="12"/>
      <c r="C28" s="12"/>
      <c r="D28" s="12"/>
      <c r="E28" s="12"/>
      <c r="F28" s="64" t="str">
        <f>IF(CONTROLLO!$B$13="SI", "",_xlfn.LET(_xlpm.v, _xlfn.XLOOKUP('Calcolo TC'!$G13, Valutazioni!$A$2:$A$20, Valutazioni!$B$2:$B$20, ""),IF(AND('Calcolo TC'!$D13&lt;&gt;"", _xlpm.v&lt;&gt;"", 'Calcolo TC'!$D13=_xlpm.v), "X", "")))</f>
        <v/>
      </c>
      <c r="G28" s="64" t="str">
        <f>IF(CONTROLLO!$B$13="SI", "",_xlfn.LET(_xlpm.v, _xlfn.XLOOKUP('Calcolo TC'!$G13, Valutazioni!$A$2:$A$20, Valutazioni!$C$2:$C$20, ""),IF(AND('Calcolo TC'!$D13&lt;&gt;"", _xlpm.v&lt;&gt;"", 'Calcolo TC'!$D13=_xlpm.v), "X", "")))</f>
        <v/>
      </c>
      <c r="H28" s="64" t="str">
        <f>IF(CONTROLLO!$B$13="SI", "",_xlfn.LET(_xlpm.v, _xlfn.XLOOKUP('Calcolo TC'!$G13, Valutazioni!$A$2:$A$20, Valutazioni!$D$2:$D$20, ""),IF(AND('Calcolo TC'!$D13&lt;&gt;"", _xlpm.v&lt;&gt;"", 'Calcolo TC'!$D13=_xlpm.v), "X", "")))</f>
        <v/>
      </c>
      <c r="I28" s="64" t="str">
        <f>IF(CONTROLLO!$B$13="SI", "",_xlfn.LET(_xlpm.v, _xlfn.XLOOKUP('Calcolo TC'!$G13, Valutazioni!$A$2:$A$20, Valutazioni!$E$2:$E$20, ""),IF(AND('Calcolo TC'!$D13&lt;&gt;"", _xlpm.v&lt;&gt;"", 'Calcolo TC'!$D13=_xlpm.v), "X", "")))</f>
        <v/>
      </c>
      <c r="J28" s="66" t="str">
        <f>IF(CONTROLLO!$B$13="SI", "",_xlfn.LET(_xlpm.v, _xlfn.XLOOKUP('Calcolo TC'!$G13, Valutazioni!$A$2:$A$20, Valutazioni!$F$2:$F$20, ""),IF(AND('Calcolo TC'!$D13&lt;&gt;"", _xlpm.v&lt;&gt;"", 'Calcolo TC'!$D13=_xlpm.v), "X", "")))</f>
        <v/>
      </c>
    </row>
    <row r="29" spans="1:10">
      <c r="A29" s="41" t="str">
        <f>'Calcolo TC'!F14</f>
        <v>valuta lo stato  di coscienza</v>
      </c>
      <c r="B29" s="12"/>
      <c r="C29" s="12"/>
      <c r="D29" s="12"/>
      <c r="E29" s="12"/>
      <c r="F29" s="64" t="str">
        <f>IF(CONTROLLO!$B$13="SI", "",_xlfn.LET(_xlpm.v, _xlfn.XLOOKUP('Calcolo TC'!$G14, Valutazioni!$A$2:$A$20, Valutazioni!$B$2:$B$20, ""),IF(AND('Calcolo TC'!$D14&lt;&gt;"", _xlpm.v&lt;&gt;"", 'Calcolo TC'!$D14=_xlpm.v), "X", "")))</f>
        <v/>
      </c>
      <c r="G29" s="64" t="str">
        <f>IF(CONTROLLO!$B$13="SI", "",_xlfn.LET(_xlpm.v, _xlfn.XLOOKUP('Calcolo TC'!$G14, Valutazioni!$A$2:$A$20, Valutazioni!$C$2:$C$20, ""),IF(AND('Calcolo TC'!$D14&lt;&gt;"", _xlpm.v&lt;&gt;"", 'Calcolo TC'!$D14=_xlpm.v), "X", "")))</f>
        <v/>
      </c>
      <c r="H29" s="64" t="str">
        <f>IF(CONTROLLO!$B$13="SI", "",_xlfn.LET(_xlpm.v, _xlfn.XLOOKUP('Calcolo TC'!$G14, Valutazioni!$A$2:$A$20, Valutazioni!$D$2:$D$20, ""),IF(AND('Calcolo TC'!$D14&lt;&gt;"", _xlpm.v&lt;&gt;"", 'Calcolo TC'!$D14=_xlpm.v), "X", "")))</f>
        <v/>
      </c>
      <c r="I29" s="64" t="str">
        <f>IF(CONTROLLO!$B$13="SI", "",_xlfn.LET(_xlpm.v, _xlfn.XLOOKUP('Calcolo TC'!$G14, Valutazioni!$A$2:$A$20, Valutazioni!$E$2:$E$20, ""),IF(AND('Calcolo TC'!$D14&lt;&gt;"", _xlpm.v&lt;&gt;"", 'Calcolo TC'!$D14=_xlpm.v), "X", "")))</f>
        <v/>
      </c>
      <c r="J29" s="66" t="str">
        <f>IF(CONTROLLO!$B$13="SI", "",_xlfn.LET(_xlpm.v, _xlfn.XLOOKUP('Calcolo TC'!$G14, Valutazioni!$A$2:$A$20, Valutazioni!$F$2:$F$20, ""),IF(AND('Calcolo TC'!$D14&lt;&gt;"", _xlpm.v&lt;&gt;"", 'Calcolo TC'!$D14=_xlpm.v), "X", "")))</f>
        <v/>
      </c>
    </row>
    <row r="30" spans="1:10">
      <c r="A30" s="41" t="str">
        <f>'Calcolo TC'!F15</f>
        <v>slaccia ciò che stringe</v>
      </c>
      <c r="B30" s="12"/>
      <c r="C30" s="12"/>
      <c r="D30" s="12"/>
      <c r="E30" s="12"/>
      <c r="F30" s="64" t="str">
        <f>IF(CONTROLLO!$B$13="SI", "",_xlfn.LET(_xlpm.v, _xlfn.XLOOKUP('Calcolo TC'!$G15, Valutazioni!$A$2:$A$20, Valutazioni!$B$2:$B$20, ""),IF(AND('Calcolo TC'!$D15&lt;&gt;"", _xlpm.v&lt;&gt;"", 'Calcolo TC'!$D15=_xlpm.v), "X", "")))</f>
        <v/>
      </c>
      <c r="G30" s="64" t="str">
        <f>IF(CONTROLLO!$B$13="SI", "",_xlfn.LET(_xlpm.v, _xlfn.XLOOKUP('Calcolo TC'!$G15, Valutazioni!$A$2:$A$20, Valutazioni!$C$2:$C$20, ""),IF(AND('Calcolo TC'!$D15&lt;&gt;"", _xlpm.v&lt;&gt;"", 'Calcolo TC'!$D15=_xlpm.v), "X", "")))</f>
        <v/>
      </c>
      <c r="H30" s="64" t="str">
        <f>IF(CONTROLLO!$B$13="SI", "",_xlfn.LET(_xlpm.v, _xlfn.XLOOKUP('Calcolo TC'!$G15, Valutazioni!$A$2:$A$20, Valutazioni!$D$2:$D$20, ""),IF(AND('Calcolo TC'!$D15&lt;&gt;"", _xlpm.v&lt;&gt;"", 'Calcolo TC'!$D15=_xlpm.v), "X", "")))</f>
        <v/>
      </c>
      <c r="I30" s="64" t="str">
        <f>IF(CONTROLLO!$B$13="SI", "",_xlfn.LET(_xlpm.v, _xlfn.XLOOKUP('Calcolo TC'!$G15, Valutazioni!$A$2:$A$20, Valutazioni!$E$2:$E$20, ""),IF(AND('Calcolo TC'!$D15&lt;&gt;"", _xlpm.v&lt;&gt;"", 'Calcolo TC'!$D15=_xlpm.v), "X", "")))</f>
        <v/>
      </c>
      <c r="J30" s="66" t="str">
        <f>IF(CONTROLLO!$B$13="SI", "",_xlfn.LET(_xlpm.v, _xlfn.XLOOKUP('Calcolo TC'!$G15, Valutazioni!$A$2:$A$20, Valutazioni!$F$2:$F$20, ""),IF(AND('Calcolo TC'!$D15&lt;&gt;"", _xlpm.v&lt;&gt;"", 'Calcolo TC'!$D15=_xlpm.v), "X", "")))</f>
        <v/>
      </c>
    </row>
    <row r="31" spans="1:10">
      <c r="A31" s="41" t="str">
        <f>'Calcolo TC'!F16</f>
        <v>valuta la qualità del respiro per 10 sec.</v>
      </c>
      <c r="B31" s="12"/>
      <c r="C31" s="12"/>
      <c r="D31" s="12"/>
      <c r="E31" s="12"/>
      <c r="F31" s="64" t="str">
        <f>IF(CONTROLLO!$B$13="SI", "",_xlfn.LET(_xlpm.v, _xlfn.XLOOKUP('Calcolo TC'!$G16, Valutazioni!$A$2:$A$20, Valutazioni!$B$2:$B$20, ""),IF(AND('Calcolo TC'!$D16&lt;&gt;"", _xlpm.v&lt;&gt;"", 'Calcolo TC'!$D16=_xlpm.v), "X", "")))</f>
        <v/>
      </c>
      <c r="G31" s="64" t="str">
        <f>IF(CONTROLLO!$B$13="SI", "",_xlfn.LET(_xlpm.v, _xlfn.XLOOKUP('Calcolo TC'!$G16, Valutazioni!$A$2:$A$20, Valutazioni!$C$2:$C$20, ""),IF(AND('Calcolo TC'!$D16&lt;&gt;"", _xlpm.v&lt;&gt;"", 'Calcolo TC'!$D16=_xlpm.v), "X", "")))</f>
        <v/>
      </c>
      <c r="H31" s="64" t="str">
        <f>IF(CONTROLLO!$B$13="SI", "",_xlfn.LET(_xlpm.v, _xlfn.XLOOKUP('Calcolo TC'!$G16, Valutazioni!$A$2:$A$20, Valutazioni!$D$2:$D$20, ""),IF(AND('Calcolo TC'!$D16&lt;&gt;"", _xlpm.v&lt;&gt;"", 'Calcolo TC'!$D16=_xlpm.v), "X", "")))</f>
        <v/>
      </c>
      <c r="I31" s="64" t="str">
        <f>IF(CONTROLLO!$B$13="SI", "",_xlfn.LET(_xlpm.v, _xlfn.XLOOKUP('Calcolo TC'!$G16, Valutazioni!$A$2:$A$20, Valutazioni!$E$2:$E$20, ""),IF(AND('Calcolo TC'!$D16&lt;&gt;"", _xlpm.v&lt;&gt;"", 'Calcolo TC'!$D16=_xlpm.v), "X", "")))</f>
        <v/>
      </c>
      <c r="J31" s="66" t="str">
        <f>IF(CONTROLLO!$B$13="SI", "",_xlfn.LET(_xlpm.v, _xlfn.XLOOKUP('Calcolo TC'!$G16, Valutazioni!$A$2:$A$20, Valutazioni!$F$2:$F$20, ""),IF(AND('Calcolo TC'!$D16&lt;&gt;"", _xlpm.v&lt;&gt;"", 'Calcolo TC'!$D16=_xlpm.v), "X", "")))</f>
        <v/>
      </c>
    </row>
    <row r="32" spans="1:10">
      <c r="A32" s="41" t="str">
        <f>'Calcolo TC'!F17</f>
        <v>valuta il circolo per 10 sec.</v>
      </c>
      <c r="B32" s="12"/>
      <c r="C32" s="12"/>
      <c r="D32" s="12"/>
      <c r="E32" s="12"/>
      <c r="F32" s="64" t="str">
        <f>IF(CONTROLLO!$B$13="SI", "",_xlfn.LET(_xlpm.v, _xlfn.XLOOKUP('Calcolo TC'!$G17, Valutazioni!$A$2:$A$20, Valutazioni!$B$2:$B$20, ""),IF(AND('Calcolo TC'!$D17&lt;&gt;"", _xlpm.v&lt;&gt;"", 'Calcolo TC'!$D17=_xlpm.v), "X", "")))</f>
        <v/>
      </c>
      <c r="G32" s="64" t="str">
        <f>IF(CONTROLLO!$B$13="SI", "",_xlfn.LET(_xlpm.v, _xlfn.XLOOKUP('Calcolo TC'!$G17, Valutazioni!$A$2:$A$20, Valutazioni!$C$2:$C$20, ""),IF(AND('Calcolo TC'!$D17&lt;&gt;"", _xlpm.v&lt;&gt;"", 'Calcolo TC'!$D17=_xlpm.v), "X", "")))</f>
        <v/>
      </c>
      <c r="H32" s="64" t="str">
        <f>IF(CONTROLLO!$B$13="SI", "",_xlfn.LET(_xlpm.v, _xlfn.XLOOKUP('Calcolo TC'!$G17, Valutazioni!$A$2:$A$20, Valutazioni!$D$2:$D$20, ""),IF(AND('Calcolo TC'!$D17&lt;&gt;"", _xlpm.v&lt;&gt;"", 'Calcolo TC'!$D17=_xlpm.v), "X", "")))</f>
        <v/>
      </c>
      <c r="I32" s="64" t="str">
        <f>IF(CONTROLLO!$B$13="SI", "",_xlfn.LET(_xlpm.v, _xlfn.XLOOKUP('Calcolo TC'!$G17, Valutazioni!$A$2:$A$20, Valutazioni!$E$2:$E$20, ""),IF(AND('Calcolo TC'!$D17&lt;&gt;"", _xlpm.v&lt;&gt;"", 'Calcolo TC'!$D17=_xlpm.v), "X", "")))</f>
        <v/>
      </c>
      <c r="J32" s="66" t="str">
        <f>IF(CONTROLLO!$B$13="SI", "",_xlfn.LET(_xlpm.v, _xlfn.XLOOKUP('Calcolo TC'!$G17, Valutazioni!$A$2:$A$20, Valutazioni!$F$2:$F$20, ""),IF(AND('Calcolo TC'!$D17&lt;&gt;"", _xlpm.v&lt;&gt;"", 'Calcolo TC'!$D17=_xlpm.v), "X", "")))</f>
        <v/>
      </c>
    </row>
    <row r="33" spans="1:10">
      <c r="A33" s="41" t="str">
        <f>'Calcolo TC'!F18</f>
        <v>A.V.P.U.</v>
      </c>
      <c r="B33" s="12"/>
      <c r="C33" s="12"/>
      <c r="D33" s="12"/>
      <c r="E33" s="12"/>
      <c r="F33" s="64" t="str">
        <f>IF(CONTROLLO!$B$13="SI", "",_xlfn.LET(_xlpm.v, _xlfn.XLOOKUP('Calcolo TC'!$G18, Valutazioni!$A$2:$A$20, Valutazioni!$B$2:$B$20, ""),IF(AND('Calcolo TC'!$D18&lt;&gt;"", _xlpm.v&lt;&gt;"", 'Calcolo TC'!$D18=_xlpm.v), "X", "")))</f>
        <v/>
      </c>
      <c r="G33" s="64" t="str">
        <f>IF(CONTROLLO!$B$13="SI", "",_xlfn.LET(_xlpm.v, _xlfn.XLOOKUP('Calcolo TC'!$G18, Valutazioni!$A$2:$A$20, Valutazioni!$C$2:$C$20, ""),IF(AND('Calcolo TC'!$D18&lt;&gt;"", _xlpm.v&lt;&gt;"", 'Calcolo TC'!$D18=_xlpm.v), "X", "")))</f>
        <v/>
      </c>
      <c r="H33" s="64" t="str">
        <f>IF(CONTROLLO!$B$13="SI", "",_xlfn.LET(_xlpm.v, _xlfn.XLOOKUP('Calcolo TC'!$G18, Valutazioni!$A$2:$A$20, Valutazioni!$D$2:$D$20, ""),IF(AND('Calcolo TC'!$D18&lt;&gt;"", _xlpm.v&lt;&gt;"", 'Calcolo TC'!$D18=_xlpm.v), "X", "")))</f>
        <v/>
      </c>
      <c r="I33" s="64" t="str">
        <f>IF(CONTROLLO!$B$13="SI", "",_xlfn.LET(_xlpm.v, _xlfn.XLOOKUP('Calcolo TC'!$G18, Valutazioni!$A$2:$A$20, Valutazioni!$E$2:$E$20, ""),IF(AND('Calcolo TC'!$D18&lt;&gt;"", _xlpm.v&lt;&gt;"", 'Calcolo TC'!$D18=_xlpm.v), "X", "")))</f>
        <v/>
      </c>
      <c r="J33" s="66" t="str">
        <f>IF(CONTROLLO!$B$13="SI", "",_xlfn.LET(_xlpm.v, _xlfn.XLOOKUP('Calcolo TC'!$G18, Valutazioni!$A$2:$A$20, Valutazioni!$F$2:$F$20, ""),IF(AND('Calcolo TC'!$D18&lt;&gt;"", _xlpm.v&lt;&gt;"", 'Calcolo TC'!$D18=_xlpm.v), "X", "")))</f>
        <v/>
      </c>
    </row>
    <row r="34" spans="1:10">
      <c r="A34" s="41" t="str">
        <f>'Calcolo TC'!F19</f>
        <v>valutazione testa- piedi</v>
      </c>
      <c r="B34" s="12"/>
      <c r="C34" s="12"/>
      <c r="D34" s="12"/>
      <c r="E34" s="12"/>
      <c r="F34" s="64" t="str">
        <f>IF(CONTROLLO!$B$13="SI", "",_xlfn.LET(_xlpm.v, _xlfn.XLOOKUP('Calcolo TC'!$G19, Valutazioni!$A$2:$A$20, Valutazioni!$B$2:$B$20, ""),IF(AND('Calcolo TC'!$D19&lt;&gt;"", _xlpm.v&lt;&gt;"", 'Calcolo TC'!$D19=_xlpm.v), "X", "")))</f>
        <v/>
      </c>
      <c r="G34" s="64" t="str">
        <f>IF(CONTROLLO!$B$13="SI", "",_xlfn.LET(_xlpm.v, _xlfn.XLOOKUP('Calcolo TC'!$G19, Valutazioni!$A$2:$A$20, Valutazioni!$C$2:$C$20, ""),IF(AND('Calcolo TC'!$D19&lt;&gt;"", _xlpm.v&lt;&gt;"", 'Calcolo TC'!$D19=_xlpm.v), "X", "")))</f>
        <v/>
      </c>
      <c r="H34" s="64" t="str">
        <f>IF(CONTROLLO!$B$13="SI", "",_xlfn.LET(_xlpm.v, _xlfn.XLOOKUP('Calcolo TC'!$G19, Valutazioni!$A$2:$A$20, Valutazioni!$D$2:$D$20, ""),IF(AND('Calcolo TC'!$D19&lt;&gt;"", _xlpm.v&lt;&gt;"", 'Calcolo TC'!$D19=_xlpm.v), "X", "")))</f>
        <v/>
      </c>
      <c r="I34" s="64" t="str">
        <f>IF(CONTROLLO!$B$13="SI", "",_xlfn.LET(_xlpm.v, _xlfn.XLOOKUP('Calcolo TC'!$G19, Valutazioni!$A$2:$A$20, Valutazioni!$E$2:$E$20, ""),IF(AND('Calcolo TC'!$D19&lt;&gt;"", _xlpm.v&lt;&gt;"", 'Calcolo TC'!$D19=_xlpm.v), "X", "")))</f>
        <v/>
      </c>
      <c r="J34" s="66" t="str">
        <f>IF(CONTROLLO!$B$13="SI", "",_xlfn.LET(_xlpm.v, _xlfn.XLOOKUP('Calcolo TC'!$G19, Valutazioni!$A$2:$A$20, Valutazioni!$F$2:$F$20, ""),IF(AND('Calcolo TC'!$D19&lt;&gt;"", _xlpm.v&lt;&gt;"", 'Calcolo TC'!$D19=_xlpm.v), "X", "")))</f>
        <v/>
      </c>
    </row>
    <row r="35" spans="1:10">
      <c r="A35" s="41" t="str">
        <f>'Calcolo TC'!F20</f>
        <v>lava le ferite</v>
      </c>
      <c r="B35" s="12"/>
      <c r="C35" s="12"/>
      <c r="D35" s="12"/>
      <c r="E35" s="12"/>
      <c r="F35" s="64" t="str">
        <f>IF(CONTROLLO!$B$13="SI", "",_xlfn.LET(_xlpm.v, _xlfn.XLOOKUP('Calcolo TC'!$G20, Valutazioni!$A$2:$A$20, Valutazioni!$B$2:$B$20, ""),IF(AND('Calcolo TC'!$D20&lt;&gt;"", _xlpm.v&lt;&gt;"", 'Calcolo TC'!$D20=_xlpm.v), "X", "")))</f>
        <v/>
      </c>
      <c r="G35" s="64" t="str">
        <f>IF(CONTROLLO!$B$13="SI", "",_xlfn.LET(_xlpm.v, _xlfn.XLOOKUP('Calcolo TC'!$G20, Valutazioni!$A$2:$A$20, Valutazioni!$C$2:$C$20, ""),IF(AND('Calcolo TC'!$D20&lt;&gt;"", _xlpm.v&lt;&gt;"", 'Calcolo TC'!$D20=_xlpm.v), "X", "")))</f>
        <v/>
      </c>
      <c r="H35" s="64" t="str">
        <f>IF(CONTROLLO!$B$13="SI", "",_xlfn.LET(_xlpm.v, _xlfn.XLOOKUP('Calcolo TC'!$G20, Valutazioni!$A$2:$A$20, Valutazioni!$D$2:$D$20, ""),IF(AND('Calcolo TC'!$D20&lt;&gt;"", _xlpm.v&lt;&gt;"", 'Calcolo TC'!$D20=_xlpm.v), "X", "")))</f>
        <v/>
      </c>
      <c r="I35" s="64" t="str">
        <f>IF(CONTROLLO!$B$13="SI", "",_xlfn.LET(_xlpm.v, _xlfn.XLOOKUP('Calcolo TC'!$G20, Valutazioni!$A$2:$A$20, Valutazioni!$E$2:$E$20, ""),IF(AND('Calcolo TC'!$D20&lt;&gt;"", _xlpm.v&lt;&gt;"", 'Calcolo TC'!$D20=_xlpm.v), "X", "")))</f>
        <v/>
      </c>
      <c r="J35" s="66" t="str">
        <f>IF(CONTROLLO!$B$13="SI", "",_xlfn.LET(_xlpm.v, _xlfn.XLOOKUP('Calcolo TC'!$G20, Valutazioni!$A$2:$A$20, Valutazioni!$F$2:$F$20, ""),IF(AND('Calcolo TC'!$D20&lt;&gt;"", _xlpm.v&lt;&gt;"", 'Calcolo TC'!$D20=_xlpm.v), "X", "")))</f>
        <v/>
      </c>
    </row>
    <row r="36" spans="1:10">
      <c r="A36" s="41" t="str">
        <f>'Calcolo TC'!F21</f>
        <v>medica le ferite</v>
      </c>
      <c r="B36" s="12"/>
      <c r="C36" s="12"/>
      <c r="D36" s="12"/>
      <c r="E36" s="12"/>
      <c r="F36" s="64" t="str">
        <f>IF(CONTROLLO!$B$13="SI", "",_xlfn.LET(_xlpm.v, _xlfn.XLOOKUP('Calcolo TC'!$G21, Valutazioni!$A$2:$A$20, Valutazioni!$B$2:$B$20, ""),IF(AND('Calcolo TC'!$D21&lt;&gt;"", _xlpm.v&lt;&gt;"", 'Calcolo TC'!$D21=_xlpm.v), "X", "")))</f>
        <v/>
      </c>
      <c r="G36" s="64" t="str">
        <f>IF(CONTROLLO!$B$13="SI", "",_xlfn.LET(_xlpm.v, _xlfn.XLOOKUP('Calcolo TC'!$G21, Valutazioni!$A$2:$A$20, Valutazioni!$C$2:$C$20, ""),IF(AND('Calcolo TC'!$D21&lt;&gt;"", _xlpm.v&lt;&gt;"", 'Calcolo TC'!$D21=_xlpm.v), "X", "")))</f>
        <v/>
      </c>
      <c r="H36" s="64" t="str">
        <f>IF(CONTROLLO!$B$13="SI", "",_xlfn.LET(_xlpm.v, _xlfn.XLOOKUP('Calcolo TC'!$G21, Valutazioni!$A$2:$A$20, Valutazioni!$D$2:$D$20, ""),IF(AND('Calcolo TC'!$D21&lt;&gt;"", _xlpm.v&lt;&gt;"", 'Calcolo TC'!$D21=_xlpm.v), "X", "")))</f>
        <v/>
      </c>
      <c r="I36" s="64" t="str">
        <f>IF(CONTROLLO!$B$13="SI", "",_xlfn.LET(_xlpm.v, _xlfn.XLOOKUP('Calcolo TC'!$G21, Valutazioni!$A$2:$A$20, Valutazioni!$E$2:$E$20, ""),IF(AND('Calcolo TC'!$D21&lt;&gt;"", _xlpm.v&lt;&gt;"", 'Calcolo TC'!$D21=_xlpm.v), "X", "")))</f>
        <v/>
      </c>
      <c r="J36" s="66" t="str">
        <f>IF(CONTROLLO!$B$13="SI", "",_xlfn.LET(_xlpm.v, _xlfn.XLOOKUP('Calcolo TC'!$G21, Valutazioni!$A$2:$A$20, Valutazioni!$F$2:$F$20, ""),IF(AND('Calcolo TC'!$D21&lt;&gt;"", _xlpm.v&lt;&gt;"", 'Calcolo TC'!$D21=_xlpm.v), "X", "")))</f>
        <v/>
      </c>
    </row>
    <row r="37" spans="1:10">
      <c r="A37" s="41" t="str">
        <f>'Calcolo TC'!F22</f>
        <v>protezione termica adeguata</v>
      </c>
      <c r="B37" s="12"/>
      <c r="C37" s="12"/>
      <c r="D37" s="12"/>
      <c r="E37" s="12"/>
      <c r="F37" s="64" t="str">
        <f>IF(CONTROLLO!$B$13="SI", "",_xlfn.LET(_xlpm.v, _xlfn.XLOOKUP('Calcolo TC'!$G22, Valutazioni!$A$2:$A$20, Valutazioni!$B$2:$B$20, ""),IF(AND('Calcolo TC'!$D22&lt;&gt;"", _xlpm.v&lt;&gt;"", 'Calcolo TC'!$D22=_xlpm.v), "X", "")))</f>
        <v/>
      </c>
      <c r="G37" s="64" t="str">
        <f>IF(CONTROLLO!$B$13="SI", "",_xlfn.LET(_xlpm.v, _xlfn.XLOOKUP('Calcolo TC'!$G22, Valutazioni!$A$2:$A$20, Valutazioni!$C$2:$C$20, ""),IF(AND('Calcolo TC'!$D22&lt;&gt;"", _xlpm.v&lt;&gt;"", 'Calcolo TC'!$D22=_xlpm.v), "X", "")))</f>
        <v/>
      </c>
      <c r="H37" s="64" t="str">
        <f>IF(CONTROLLO!$B$13="SI", "",_xlfn.LET(_xlpm.v, _xlfn.XLOOKUP('Calcolo TC'!$G22, Valutazioni!$A$2:$A$20, Valutazioni!$D$2:$D$20, ""),IF(AND('Calcolo TC'!$D22&lt;&gt;"", _xlpm.v&lt;&gt;"", 'Calcolo TC'!$D22=_xlpm.v), "X", "")))</f>
        <v/>
      </c>
      <c r="I37" s="64" t="str">
        <f>IF(CONTROLLO!$B$13="SI", "",_xlfn.LET(_xlpm.v, _xlfn.XLOOKUP('Calcolo TC'!$G22, Valutazioni!$A$2:$A$20, Valutazioni!$E$2:$E$20, ""),IF(AND('Calcolo TC'!$D22&lt;&gt;"", _xlpm.v&lt;&gt;"", 'Calcolo TC'!$D22=_xlpm.v), "X", "")))</f>
        <v/>
      </c>
      <c r="J37" s="66" t="str">
        <f>IF(CONTROLLO!$B$13="SI", "",_xlfn.LET(_xlpm.v, _xlfn.XLOOKUP('Calcolo TC'!$G22, Valutazioni!$A$2:$A$20, Valutazioni!$F$2:$F$20, ""),IF(AND('Calcolo TC'!$D22&lt;&gt;"", _xlpm.v&lt;&gt;"", 'Calcolo TC'!$D22=_xlpm.v), "X", "")))</f>
        <v/>
      </c>
    </row>
    <row r="38" spans="1:10">
      <c r="A38" s="41" t="str">
        <f>'Calcolo TC'!F23</f>
        <v>A.M.P.L.E. (Tramite moglie al Telefono)</v>
      </c>
      <c r="B38" s="12"/>
      <c r="C38" s="12"/>
      <c r="D38" s="12"/>
      <c r="E38" s="12"/>
      <c r="F38" s="64" t="str">
        <f>IF(CONTROLLO!$B$13="SI", "",_xlfn.LET(_xlpm.v, _xlfn.XLOOKUP('Calcolo TC'!$G23, Valutazioni!$A$2:$A$20, Valutazioni!$B$2:$B$20, ""),IF(AND('Calcolo TC'!$D23&lt;&gt;"", _xlpm.v&lt;&gt;"", 'Calcolo TC'!$D23=_xlpm.v), "X", "")))</f>
        <v/>
      </c>
      <c r="G38" s="64" t="str">
        <f>IF(CONTROLLO!$B$13="SI", "",_xlfn.LET(_xlpm.v, _xlfn.XLOOKUP('Calcolo TC'!$G23, Valutazioni!$A$2:$A$20, Valutazioni!$C$2:$C$20, ""),IF(AND('Calcolo TC'!$D23&lt;&gt;"", _xlpm.v&lt;&gt;"", 'Calcolo TC'!$D23=_xlpm.v), "X", "")))</f>
        <v/>
      </c>
      <c r="H38" s="64" t="str">
        <f>IF(CONTROLLO!$B$13="SI", "",_xlfn.LET(_xlpm.v, _xlfn.XLOOKUP('Calcolo TC'!$G23, Valutazioni!$A$2:$A$20, Valutazioni!$D$2:$D$20, ""),IF(AND('Calcolo TC'!$D23&lt;&gt;"", _xlpm.v&lt;&gt;"", 'Calcolo TC'!$D23=_xlpm.v), "X", "")))</f>
        <v/>
      </c>
      <c r="I38" s="64" t="str">
        <f>IF(CONTROLLO!$B$13="SI", "",_xlfn.LET(_xlpm.v, _xlfn.XLOOKUP('Calcolo TC'!$G23, Valutazioni!$A$2:$A$20, Valutazioni!$E$2:$E$20, ""),IF(AND('Calcolo TC'!$D23&lt;&gt;"", _xlpm.v&lt;&gt;"", 'Calcolo TC'!$D23=_xlpm.v), "X", "")))</f>
        <v/>
      </c>
      <c r="J38" s="66" t="str">
        <f>IF(CONTROLLO!$B$13="SI", "",_xlfn.LET(_xlpm.v, _xlfn.XLOOKUP('Calcolo TC'!$G23, Valutazioni!$A$2:$A$20, Valutazioni!$F$2:$F$20, ""),IF(AND('Calcolo TC'!$D23&lt;&gt;"", _xlpm.v&lt;&gt;"", 'Calcolo TC'!$D23=_xlpm.v), "X", "")))</f>
        <v/>
      </c>
    </row>
    <row r="39" spans="1:10">
      <c r="A39" s="41" t="str">
        <f>'Calcolo TC'!F24</f>
        <v>rivalutazione (A-B-C)</v>
      </c>
      <c r="B39" s="12"/>
      <c r="C39" s="12"/>
      <c r="D39" s="12"/>
      <c r="E39" s="12"/>
      <c r="F39" s="64" t="str">
        <f>IF(CONTROLLO!$B$13="SI", "",_xlfn.LET(_xlpm.v, _xlfn.XLOOKUP('Calcolo TC'!$G24, Valutazioni!$A$2:$A$20, Valutazioni!$B$2:$B$20, ""),IF(AND('Calcolo TC'!$D24&lt;&gt;"", _xlpm.v&lt;&gt;"", 'Calcolo TC'!$D24=_xlpm.v), "X", "")))</f>
        <v/>
      </c>
      <c r="G39" s="64" t="str">
        <f>IF(CONTROLLO!$B$13="SI", "",_xlfn.LET(_xlpm.v, _xlfn.XLOOKUP('Calcolo TC'!$G24, Valutazioni!$A$2:$A$20, Valutazioni!$C$2:$C$20, ""),IF(AND('Calcolo TC'!$D24&lt;&gt;"", _xlpm.v&lt;&gt;"", 'Calcolo TC'!$D24=_xlpm.v), "X", "")))</f>
        <v/>
      </c>
      <c r="H39" s="64" t="str">
        <f>IF(CONTROLLO!$B$13="SI", "",_xlfn.LET(_xlpm.v, _xlfn.XLOOKUP('Calcolo TC'!$G24, Valutazioni!$A$2:$A$20, Valutazioni!$D$2:$D$20, ""),IF(AND('Calcolo TC'!$D24&lt;&gt;"", _xlpm.v&lt;&gt;"", 'Calcolo TC'!$D24=_xlpm.v), "X", "")))</f>
        <v/>
      </c>
      <c r="I39" s="64" t="str">
        <f>IF(CONTROLLO!$B$13="SI", "",_xlfn.LET(_xlpm.v, _xlfn.XLOOKUP('Calcolo TC'!$G24, Valutazioni!$A$2:$A$20, Valutazioni!$E$2:$E$20, ""),IF(AND('Calcolo TC'!$D24&lt;&gt;"", _xlpm.v&lt;&gt;"", 'Calcolo TC'!$D24=_xlpm.v), "X", "")))</f>
        <v/>
      </c>
      <c r="J39" s="66" t="str">
        <f>IF(CONTROLLO!$B$13="SI", "",_xlfn.LET(_xlpm.v, _xlfn.XLOOKUP('Calcolo TC'!$G24, Valutazioni!$A$2:$A$20, Valutazioni!$F$2:$F$20, ""),IF(AND('Calcolo TC'!$D24&lt;&gt;"", _xlpm.v&lt;&gt;"", 'Calcolo TC'!$D24=_xlpm.v), "X", "")))</f>
        <v/>
      </c>
    </row>
    <row r="40" spans="1:10">
      <c r="A40" s="85" t="str">
        <f>'Calcolo TC'!F25</f>
        <v>ATTEGGIAMENTO DEL SOCCORRITORE</v>
      </c>
      <c r="B40" s="86"/>
      <c r="C40" s="86"/>
      <c r="D40" s="86"/>
      <c r="E40" s="86"/>
      <c r="F40" s="64" t="str">
        <f>IF(CONTROLLO!$B$13="SI", "",_xlfn.LET(_xlpm.v, _xlfn.XLOOKUP('Calcolo TC'!$G25, Valutazioni!$A$2:$A$20, Valutazioni!$B$2:$B$20, ""),IF(AND('Calcolo TC'!$D25&lt;&gt;"", _xlpm.v&lt;&gt;"", 'Calcolo TC'!$D25=_xlpm.v), "X", "")))</f>
        <v/>
      </c>
      <c r="G40" s="64" t="str">
        <f>IF(CONTROLLO!$B$13="SI", "",_xlfn.LET(_xlpm.v, _xlfn.XLOOKUP('Calcolo TC'!$G25, Valutazioni!$A$2:$A$20, Valutazioni!$C$2:$C$20, ""),IF(AND('Calcolo TC'!$D25&lt;&gt;"", _xlpm.v&lt;&gt;"", 'Calcolo TC'!$D25=_xlpm.v), "X", "")))</f>
        <v/>
      </c>
      <c r="H40" s="64" t="str">
        <f>IF(CONTROLLO!$B$13="SI", "",_xlfn.LET(_xlpm.v, _xlfn.XLOOKUP('Calcolo TC'!$G25, Valutazioni!$A$2:$A$20, Valutazioni!$D$2:$D$20, ""),IF(AND('Calcolo TC'!$D25&lt;&gt;"", _xlpm.v&lt;&gt;"", 'Calcolo TC'!$D25=_xlpm.v), "X", "")))</f>
        <v/>
      </c>
      <c r="I40" s="64" t="str">
        <f>IF(CONTROLLO!$B$13="SI", "",_xlfn.LET(_xlpm.v, _xlfn.XLOOKUP('Calcolo TC'!$G25, Valutazioni!$A$2:$A$20, Valutazioni!$E$2:$E$20, ""),IF(AND('Calcolo TC'!$D25&lt;&gt;"", _xlpm.v&lt;&gt;"", 'Calcolo TC'!$D25=_xlpm.v), "X", "")))</f>
        <v/>
      </c>
      <c r="J40" s="66" t="str">
        <f>IF(CONTROLLO!$B$13="SI", "",_xlfn.LET(_xlpm.v, _xlfn.XLOOKUP('Calcolo TC'!$G25, Valutazioni!$A$2:$A$20, Valutazioni!$F$2:$F$20, ""),IF(AND('Calcolo TC'!$D25&lt;&gt;"", _xlpm.v&lt;&gt;"", 'Calcolo TC'!$D25=_xlpm.v), "X", "")))</f>
        <v/>
      </c>
    </row>
    <row r="41" spans="1:10">
      <c r="A41" s="41" t="str">
        <f>'Calcolo TC'!F26</f>
        <v>informa l’infortunato di ciò che fa</v>
      </c>
      <c r="B41" s="12"/>
      <c r="C41" s="12"/>
      <c r="D41" s="12"/>
      <c r="E41" s="12"/>
      <c r="F41" s="64" t="str">
        <f>IF(CONTROLLO!$B$13="SI", "",_xlfn.LET(_xlpm.v, _xlfn.XLOOKUP('Calcolo TC'!$G26, Valutazioni!$A$2:$A$20, Valutazioni!$B$2:$B$20, ""),IF(AND('Calcolo TC'!$D26&lt;&gt;"", _xlpm.v&lt;&gt;"", 'Calcolo TC'!$D26=_xlpm.v), "X", "")))</f>
        <v/>
      </c>
      <c r="G41" s="64" t="str">
        <f>IF(CONTROLLO!$B$13="SI", "",_xlfn.LET(_xlpm.v, _xlfn.XLOOKUP('Calcolo TC'!$G26, Valutazioni!$A$2:$A$20, Valutazioni!$C$2:$C$20, ""),IF(AND('Calcolo TC'!$D26&lt;&gt;"", _xlpm.v&lt;&gt;"", 'Calcolo TC'!$D26=_xlpm.v), "X", "")))</f>
        <v/>
      </c>
      <c r="H41" s="64" t="str">
        <f>IF(CONTROLLO!$B$13="SI", "",_xlfn.LET(_xlpm.v, _xlfn.XLOOKUP('Calcolo TC'!$G26, Valutazioni!$A$2:$A$20, Valutazioni!$D$2:$D$20, ""),IF(AND('Calcolo TC'!$D26&lt;&gt;"", _xlpm.v&lt;&gt;"", 'Calcolo TC'!$D26=_xlpm.v), "X", "")))</f>
        <v/>
      </c>
      <c r="I41" s="64" t="str">
        <f>IF(CONTROLLO!$B$13="SI", "",_xlfn.LET(_xlpm.v, _xlfn.XLOOKUP('Calcolo TC'!$G26, Valutazioni!$A$2:$A$20, Valutazioni!$E$2:$E$20, ""),IF(AND('Calcolo TC'!$D26&lt;&gt;"", _xlpm.v&lt;&gt;"", 'Calcolo TC'!$D26=_xlpm.v), "X", "")))</f>
        <v/>
      </c>
      <c r="J41" s="66" t="str">
        <f>IF(CONTROLLO!$B$13="SI", "",_xlfn.LET(_xlpm.v, _xlfn.XLOOKUP('Calcolo TC'!$G26, Valutazioni!$A$2:$A$20, Valutazioni!$F$2:$F$20, ""),IF(AND('Calcolo TC'!$D26&lt;&gt;"", _xlpm.v&lt;&gt;"", 'Calcolo TC'!$D26=_xlpm.v), "X", "")))</f>
        <v/>
      </c>
    </row>
    <row r="42" spans="1:10" ht="15">
      <c r="A42" s="41" t="str">
        <f>'Calcolo TC'!F27</f>
        <v>valutazione del simulatore (ti sei sentito a tuo agio?)</v>
      </c>
      <c r="B42" s="12"/>
      <c r="C42" s="12"/>
      <c r="D42" s="12"/>
      <c r="E42" s="12"/>
      <c r="F42" s="64" t="str">
        <f>IF(CONTROLLO!$B$13="SI", "",_xlfn.LET(_xlpm.v, _xlfn.XLOOKUP('Calcolo TC'!$G27, Valutazioni!$A$2:$A$20, Valutazioni!$B$2:$B$20, ""),IF(AND('Calcolo TC'!$D27&lt;&gt;"", _xlpm.v&lt;&gt;"", 'Calcolo TC'!$D27=_xlpm.v), "X", "")))</f>
        <v/>
      </c>
      <c r="G42" s="64" t="str">
        <f>IF(CONTROLLO!$B$13="SI", "",_xlfn.LET(_xlpm.v, _xlfn.XLOOKUP('Calcolo TC'!$G27, Valutazioni!$A$2:$A$20, Valutazioni!$C$2:$C$20, ""),IF(AND('Calcolo TC'!$D27&lt;&gt;"", _xlpm.v&lt;&gt;"", 'Calcolo TC'!$D27=_xlpm.v), "X", "")))</f>
        <v/>
      </c>
      <c r="H42" s="64" t="str">
        <f>IF(CONTROLLO!$B$13="SI", "",_xlfn.LET(_xlpm.v, _xlfn.XLOOKUP('Calcolo TC'!$G27, Valutazioni!$A$2:$A$20, Valutazioni!$D$2:$D$20, ""),IF(AND('Calcolo TC'!$D27&lt;&gt;"", _xlpm.v&lt;&gt;"", 'Calcolo TC'!$D27=_xlpm.v), "X", "")))</f>
        <v/>
      </c>
      <c r="I42" s="64" t="str">
        <f>IF(CONTROLLO!$B$13="SI", "",_xlfn.LET(_xlpm.v, _xlfn.XLOOKUP('Calcolo TC'!$G27, Valutazioni!$A$2:$A$20, Valutazioni!$E$2:$E$20, ""),IF(AND('Calcolo TC'!$D27&lt;&gt;"", _xlpm.v&lt;&gt;"", 'Calcolo TC'!$D27=_xlpm.v), "X", "")))</f>
        <v/>
      </c>
      <c r="J42" s="66" t="str">
        <f>IF(CONTROLLO!$B$13="SI", "",_xlfn.LET(_xlpm.v, _xlfn.XLOOKUP('Calcolo TC'!$G27, Valutazioni!$A$2:$A$20, Valutazioni!$F$2:$F$20, ""),IF(AND('Calcolo TC'!$D27&lt;&gt;"", _xlpm.v&lt;&gt;"", 'Calcolo TC'!$D27=_xlpm.v), "X", "")))</f>
        <v/>
      </c>
    </row>
    <row r="43" spans="1:10" ht="14.45" customHeight="1">
      <c r="A43" s="123" t="s">
        <v>765</v>
      </c>
      <c r="B43" s="116"/>
      <c r="C43" s="117"/>
      <c r="D43" s="117"/>
      <c r="E43" s="117"/>
      <c r="F43" s="117"/>
      <c r="G43" s="118"/>
      <c r="H43" s="114" t="s">
        <v>766</v>
      </c>
      <c r="I43" s="150"/>
      <c r="J43" s="151"/>
    </row>
    <row r="44" spans="1:10" ht="14.45" customHeight="1">
      <c r="A44" s="124"/>
      <c r="B44" s="119"/>
      <c r="C44" s="120"/>
      <c r="D44" s="120"/>
      <c r="E44" s="120"/>
      <c r="F44" s="120"/>
      <c r="G44" s="120"/>
      <c r="H44" s="109"/>
      <c r="I44" s="152"/>
      <c r="J44" s="153"/>
    </row>
    <row r="45" spans="1:10" ht="14.45" customHeight="1">
      <c r="A45" s="124"/>
      <c r="B45" s="119"/>
      <c r="C45" s="120"/>
      <c r="D45" s="120"/>
      <c r="E45" s="120"/>
      <c r="F45" s="120"/>
      <c r="G45" s="120"/>
      <c r="H45" s="154"/>
      <c r="I45" s="144"/>
      <c r="J45" s="155"/>
    </row>
    <row r="46" spans="1:10" ht="14.45" customHeight="1">
      <c r="A46" s="125"/>
      <c r="B46" s="121"/>
      <c r="C46" s="122"/>
      <c r="D46" s="122"/>
      <c r="E46" s="122"/>
      <c r="F46" s="122"/>
      <c r="G46" s="122"/>
      <c r="H46" s="148"/>
      <c r="I46" s="149"/>
      <c r="J46" s="156"/>
    </row>
    <row r="47" spans="1:10" ht="14.45" customHeight="1">
      <c r="A47" s="103" t="s">
        <v>768</v>
      </c>
      <c r="B47" s="104"/>
      <c r="C47" s="104"/>
      <c r="D47" s="104"/>
      <c r="E47" s="104"/>
      <c r="F47" s="104"/>
      <c r="G47" s="104"/>
      <c r="H47" s="105"/>
      <c r="I47" s="105"/>
      <c r="J47" s="106"/>
    </row>
    <row r="48" spans="1:10" ht="15"/>
    <row r="49" ht="15"/>
    <row r="51" ht="15"/>
    <row r="52" ht="15"/>
  </sheetData>
  <mergeCells count="22">
    <mergeCell ref="A43:A46"/>
    <mergeCell ref="B43:G46"/>
    <mergeCell ref="C1:H2"/>
    <mergeCell ref="C3:H4"/>
    <mergeCell ref="C5:H6"/>
    <mergeCell ref="C10:D10"/>
    <mergeCell ref="A47:J47"/>
    <mergeCell ref="I12:I13"/>
    <mergeCell ref="H43:J43"/>
    <mergeCell ref="A12:E13"/>
    <mergeCell ref="G9:J10"/>
    <mergeCell ref="H44:J46"/>
    <mergeCell ref="F9:F10"/>
    <mergeCell ref="A15:E16"/>
    <mergeCell ref="F12:F13"/>
    <mergeCell ref="G12:G13"/>
    <mergeCell ref="J12:J13"/>
    <mergeCell ref="H12:H13"/>
    <mergeCell ref="A9:B10"/>
    <mergeCell ref="A11:B11"/>
    <mergeCell ref="C11:E11"/>
    <mergeCell ref="C9:D9"/>
  </mergeCells>
  <pageMargins left="0.23622047244094499" right="0.23622047244094499" top="0.23622047244094499" bottom="0.23622047244094499" header="0.31496062992126" footer="0"/>
  <pageSetup paperSize="9" scale="96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667C5F5-8B52-4E98-8CCC-8CA42576B418}">
            <xm:f>OR('Calcolo TC'!$A2="",   IFERROR(INDEX(Valutazioni!$B$2:$B$20,       MATCH('Calcolo TC'!$G2,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F17:F42</xm:sqref>
        </x14:conditionalFormatting>
        <x14:conditionalFormatting xmlns:xm="http://schemas.microsoft.com/office/excel/2006/main">
          <x14:cfRule type="expression" priority="4" id="{5ABD5BC7-EF2A-4B36-959B-94759F350741}">
            <xm:f>OR('Calcolo TC'!$A2="",   IFERROR(INDEX(Valutazioni!$D$2:$D$20,       MATCH('Calcolo TC'!$G2,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H17:H42</xm:sqref>
        </x14:conditionalFormatting>
        <x14:conditionalFormatting xmlns:xm="http://schemas.microsoft.com/office/excel/2006/main">
          <x14:cfRule type="expression" priority="3" id="{4855734D-AB77-46BF-A5BA-E74AFE6510A0}">
            <xm:f>OR('Calcolo TC'!$A2="",   IFERROR(INDEX(Valutazioni!$E$2:$E$20,       MATCH('Calcolo TC'!$G2,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I17:I42</xm:sqref>
        </x14:conditionalFormatting>
        <x14:conditionalFormatting xmlns:xm="http://schemas.microsoft.com/office/excel/2006/main">
          <x14:cfRule type="expression" priority="2" id="{8145F710-C9AE-4E24-B1B5-8D703531851E}">
            <xm:f>OR('Calcolo TC'!$A2="",   IFERROR(INDEX(Valutazioni!$F$2:$F$20,       MATCH('Calcolo TC'!$G2,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J17:J42</xm:sqref>
        </x14:conditionalFormatting>
        <x14:conditionalFormatting xmlns:xm="http://schemas.microsoft.com/office/excel/2006/main">
          <x14:cfRule type="expression" priority="6" id="{DFDD544F-DAF8-4D77-8D60-20B077FC1256}">
            <xm:f>OR('Calcolo TC'!$A2="",   IFERROR(INDEX(Valutazioni!$C$2:$C$20,       MATCH('Calcolo TC'!$G2,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G17:G42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52"/>
  <sheetViews>
    <sheetView tabSelected="1" topLeftCell="A2" zoomScaleNormal="100" workbookViewId="0">
      <selection activeCell="C11" sqref="C11:E11"/>
    </sheetView>
  </sheetViews>
  <sheetFormatPr defaultColWidth="8.85546875" defaultRowHeight="14.45"/>
  <cols>
    <col min="1" max="2" width="9.42578125" customWidth="1"/>
    <col min="3" max="3" width="10.42578125" customWidth="1"/>
    <col min="4" max="4" width="15.42578125" customWidth="1"/>
    <col min="5" max="5" width="10.42578125" customWidth="1"/>
    <col min="6" max="10" width="9.42578125" customWidth="1"/>
  </cols>
  <sheetData>
    <row r="1" spans="1:10" ht="15">
      <c r="A1" s="61"/>
      <c r="B1" s="62"/>
      <c r="C1" s="93" t="s">
        <v>752</v>
      </c>
      <c r="D1" s="93"/>
      <c r="E1" s="93"/>
      <c r="F1" s="93"/>
      <c r="G1" s="93"/>
      <c r="H1" s="93"/>
      <c r="I1" s="62"/>
      <c r="J1" s="87"/>
    </row>
    <row r="2" spans="1:10" ht="15">
      <c r="A2" s="34"/>
      <c r="C2" s="94"/>
      <c r="D2" s="94"/>
      <c r="E2" s="94"/>
      <c r="F2" s="94"/>
      <c r="G2" s="94"/>
      <c r="H2" s="94"/>
      <c r="J2" s="36"/>
    </row>
    <row r="3" spans="1:10" ht="15">
      <c r="A3" s="34"/>
      <c r="C3" s="95" t="s">
        <v>753</v>
      </c>
      <c r="D3" s="95"/>
      <c r="E3" s="95"/>
      <c r="F3" s="95"/>
      <c r="G3" s="95"/>
      <c r="H3" s="95"/>
      <c r="J3" s="36"/>
    </row>
    <row r="4" spans="1:10" ht="15">
      <c r="A4" s="34"/>
      <c r="C4" s="95"/>
      <c r="D4" s="95"/>
      <c r="E4" s="95"/>
      <c r="F4" s="95"/>
      <c r="G4" s="95"/>
      <c r="H4" s="95"/>
      <c r="J4" s="36"/>
    </row>
    <row r="5" spans="1:10" ht="15">
      <c r="A5" s="34"/>
      <c r="C5" s="96" t="s">
        <v>754</v>
      </c>
      <c r="D5" s="96"/>
      <c r="E5" s="96"/>
      <c r="F5" s="96"/>
      <c r="G5" s="96"/>
      <c r="H5" s="96"/>
      <c r="J5" s="36"/>
    </row>
    <row r="6" spans="1:10" ht="15">
      <c r="A6" s="34"/>
      <c r="C6" s="96"/>
      <c r="D6" s="96"/>
      <c r="E6" s="96"/>
      <c r="F6" s="96"/>
      <c r="G6" s="96"/>
      <c r="H6" s="96"/>
      <c r="J6" s="36"/>
    </row>
    <row r="7" spans="1:10" ht="5.25" customHeight="1">
      <c r="A7" s="34"/>
      <c r="J7" s="36"/>
    </row>
    <row r="8" spans="1:10" ht="5.25" customHeight="1">
      <c r="A8" s="34"/>
      <c r="J8" s="36"/>
    </row>
    <row r="9" spans="1:10" ht="16.5" customHeight="1">
      <c r="A9" s="115" t="str">
        <f>ScenaAttiva &amp; TEXT(SquadraAttiva,"00")&amp; "04"</f>
        <v>A0304</v>
      </c>
      <c r="B9" s="115"/>
      <c r="C9" s="99" t="s">
        <v>715</v>
      </c>
      <c r="D9" s="100"/>
      <c r="E9" s="43" t="s">
        <v>661</v>
      </c>
      <c r="F9" s="110" t="s">
        <v>280</v>
      </c>
      <c r="G9" s="108" t="str">
        <f>IF(INDEX(tblSchede[Giudice],MATCH(4,tblSchede[SimulatoreCodice],0))="","",INDEX(tblSchede[Giudice],MATCH(4,tblSchede[SimulatoreCodice],0)))</f>
        <v/>
      </c>
      <c r="H9" s="146"/>
      <c r="I9" s="146"/>
      <c r="J9" s="146"/>
    </row>
    <row r="10" spans="1:10" ht="14.25" customHeight="1">
      <c r="A10" s="115"/>
      <c r="B10" s="115"/>
      <c r="C10" s="101" t="str">
        <f t="array" ref="C10">ScenaAttiva</f>
        <v>A</v>
      </c>
      <c r="D10" s="102"/>
      <c r="E10" s="51">
        <f>IF(INDEX(tblSchede[SimulatoreCodice],MATCH(4,tblSchede[SimulatoreCodice],0))="M","",INDEX(tblSchede[SimulatoreCodice],MATCH(4,tblSchede[SimulatoreCodice],0)))</f>
        <v>4</v>
      </c>
      <c r="F10" s="146"/>
      <c r="G10" s="147"/>
      <c r="H10" s="147"/>
      <c r="I10" s="147"/>
      <c r="J10" s="147"/>
    </row>
    <row r="11" spans="1:10" ht="14.25" customHeight="1">
      <c r="A11" s="97" t="s">
        <v>278</v>
      </c>
      <c r="B11" s="97"/>
      <c r="C11" s="98" t="str">
        <f>IFERROR(CONTROLLO!$B$8 &amp; "-" &amp; INDEX(tblSquadre[Squadra_Nome],MATCH(CONTROLLO!$B$8,tblSquadre[SquadraID],0)),"")</f>
        <v>3-Liguria 1</v>
      </c>
      <c r="D11" s="98"/>
      <c r="E11" s="98"/>
      <c r="G11" s="43" t="s">
        <v>663</v>
      </c>
      <c r="H11" s="43" t="s">
        <v>664</v>
      </c>
      <c r="I11" s="43" t="s">
        <v>665</v>
      </c>
      <c r="J11" s="70" t="s">
        <v>698</v>
      </c>
    </row>
    <row r="12" spans="1:10" ht="14.25" customHeight="1">
      <c r="A12" s="107" t="str">
        <f t="array" ref="A12">TitoloScenaAttivo</f>
        <v>Una Scuola Stupefacente</v>
      </c>
      <c r="B12" s="146"/>
      <c r="C12" s="146"/>
      <c r="D12" s="146"/>
      <c r="E12" s="146"/>
      <c r="F12" s="111" t="s">
        <v>767</v>
      </c>
      <c r="G12" s="112" t="str">
        <f>INDEX(tblSchede[Coscienza],MATCH(4,tblSchede[SimulatoreCodice],0))</f>
        <v>A</v>
      </c>
      <c r="H12" s="112">
        <f>INDEX(tblSchede[FR],MATCH(4,tblSchede[SimulatoreCodice],0))</f>
        <v>28</v>
      </c>
      <c r="I12" s="112">
        <f>INDEX(tblSchede[FC],MATCH(4,tblSchede[SimulatoreCodice],0))</f>
        <v>110</v>
      </c>
      <c r="J12" s="113" t="str">
        <f>INDEX(tblSchede[Cute],MATCH(4,tblSchede[SimulatoreCodice],0))</f>
        <v>Pallida, sudata</v>
      </c>
    </row>
    <row r="13" spans="1:10" ht="14.25" customHeight="1">
      <c r="A13" s="146"/>
      <c r="B13" s="146"/>
      <c r="C13" s="146"/>
      <c r="D13" s="146"/>
      <c r="E13" s="146"/>
      <c r="F13" s="146"/>
      <c r="G13" s="146"/>
      <c r="H13" s="146"/>
      <c r="I13" s="146"/>
      <c r="J13" s="146"/>
    </row>
    <row r="14" spans="1:10" ht="3" customHeight="1">
      <c r="A14" s="34"/>
      <c r="J14" s="36"/>
    </row>
    <row r="15" spans="1:10" ht="50.25" customHeight="1">
      <c r="A15" s="107" t="str">
        <f>INDEX(tblSchede[Patologia],MATCH(4,tblSchede[SimulatoreCodice],0))</f>
        <v>Asma</v>
      </c>
      <c r="B15" s="146"/>
      <c r="C15" s="146"/>
      <c r="D15" s="146"/>
      <c r="E15" s="146"/>
      <c r="F15" s="44" t="s">
        <v>755</v>
      </c>
      <c r="G15" s="44" t="s">
        <v>756</v>
      </c>
      <c r="H15" s="45" t="s">
        <v>757</v>
      </c>
      <c r="I15" s="46" t="s">
        <v>758</v>
      </c>
      <c r="J15" s="46" t="s">
        <v>759</v>
      </c>
    </row>
    <row r="16" spans="1:10" ht="15.95" customHeight="1">
      <c r="A16" s="146"/>
      <c r="B16" s="146"/>
      <c r="C16" s="146"/>
      <c r="D16" s="146"/>
      <c r="E16" s="146"/>
      <c r="F16" s="47" t="s">
        <v>760</v>
      </c>
      <c r="G16" s="47" t="s">
        <v>761</v>
      </c>
      <c r="H16" s="48" t="s">
        <v>762</v>
      </c>
      <c r="I16" s="49" t="s">
        <v>763</v>
      </c>
      <c r="J16" s="49" t="s">
        <v>764</v>
      </c>
    </row>
    <row r="17" spans="1:10">
      <c r="A17" s="69" t="str">
        <f>'Calcolo Asma'!F2</f>
        <v>COMPORTAMENTO SULLA SCENA</v>
      </c>
      <c r="B17" s="68"/>
      <c r="C17" s="68"/>
      <c r="D17" s="68"/>
      <c r="E17" s="68"/>
      <c r="F17" s="64" t="str">
        <f>IF(CONTROLLO!$B$13="SI", "",_xlfn.LET(_xlpm.v, _xlfn.XLOOKUP('Calcolo Asma'!$G2, Valutazioni!$A$2:$A$20, Valutazioni!$B$2:$B$20, ""),IF(AND('Calcolo Asma'!$D2&lt;&gt;"", _xlpm.v&lt;&gt;"", 'Calcolo Asma'!$D2=_xlpm.v), "X", "")))</f>
        <v/>
      </c>
      <c r="G17" s="64" t="str">
        <f>IF(CONTROLLO!$B$13="SI", "",_xlfn.LET(_xlpm.v, _xlfn.XLOOKUP('Calcolo Asma'!$G2, Valutazioni!$A$2:$A$20, Valutazioni!$C$2:$C$20, ""),IF(AND('Calcolo Asma'!$D2&lt;&gt;"", _xlpm.v&lt;&gt;"", 'Calcolo Asma'!$D2=_xlpm.v), "X", "")))</f>
        <v/>
      </c>
      <c r="H17" s="64" t="str">
        <f>IF(CONTROLLO!$B$13="SI", "",_xlfn.LET(_xlpm.v, _xlfn.XLOOKUP('Calcolo Asma'!$G2, Valutazioni!$A$2:$A$20, Valutazioni!$D$2:$D$20, ""),IF(AND('Calcolo Asma'!$D2&lt;&gt;"", _xlpm.v&lt;&gt;"", 'Calcolo Asma'!$D2=_xlpm.v), "X", "")))</f>
        <v/>
      </c>
      <c r="I17" s="64" t="str">
        <f>IF(CONTROLLO!$B$13="SI", "",_xlfn.LET(_xlpm.v, _xlfn.XLOOKUP('Calcolo Asma'!$G2, Valutazioni!$A$2:$A$20, Valutazioni!$E$2:$E$20, ""),IF(AND('Calcolo Asma'!$D2&lt;&gt;"", _xlpm.v&lt;&gt;"", 'Calcolo Asma'!$D2=_xlpm.v), "X", "")))</f>
        <v/>
      </c>
      <c r="J17" s="66" t="str">
        <f>IF(CONTROLLO!$B$13="SI", "",_xlfn.LET(_xlpm.v, _xlfn.XLOOKUP('Calcolo Asma'!$G2, Valutazioni!$A$2:$A$20, Valutazioni!$F$2:$F$20, ""),IF(AND('Calcolo Asma'!$D2&lt;&gt;"", _xlpm.v&lt;&gt;"", 'Calcolo Asma'!$D2=_xlpm.v), "X", "")))</f>
        <v/>
      </c>
    </row>
    <row r="18" spans="1:10">
      <c r="A18" s="41" t="str">
        <f>'Calcolo Asma'!F3</f>
        <v>Indossa  i D.P.I. In scena</v>
      </c>
      <c r="B18" s="12"/>
      <c r="C18" s="12"/>
      <c r="D18" s="12"/>
      <c r="E18" s="12"/>
      <c r="F18" s="64" t="str">
        <f>IF(CONTROLLO!$B$13="SI", "",_xlfn.LET(_xlpm.v, _xlfn.XLOOKUP('Calcolo Asma'!$G3, Valutazioni!$A$2:$A$20, Valutazioni!$B$2:$B$20, ""),IF(AND('Calcolo Asma'!$D3&lt;&gt;"", _xlpm.v&lt;&gt;"", 'Calcolo Asma'!$D3=_xlpm.v), "X", "")))</f>
        <v/>
      </c>
      <c r="G18" s="64" t="str">
        <f>IF(CONTROLLO!$B$13="SI", "",_xlfn.LET(_xlpm.v, _xlfn.XLOOKUP('Calcolo Asma'!$G3, Valutazioni!$A$2:$A$20, Valutazioni!$C$2:$C$20, ""),IF(AND('Calcolo Asma'!$D3&lt;&gt;"", _xlpm.v&lt;&gt;"", 'Calcolo Asma'!$D3=_xlpm.v), "X", "")))</f>
        <v/>
      </c>
      <c r="H18" s="64" t="str">
        <f>IF(CONTROLLO!$B$13="SI", "",_xlfn.LET(_xlpm.v, _xlfn.XLOOKUP('Calcolo Asma'!$G3, Valutazioni!$A$2:$A$20, Valutazioni!$D$2:$D$20, ""),IF(AND('Calcolo Asma'!$D3&lt;&gt;"", _xlpm.v&lt;&gt;"", 'Calcolo Asma'!$D3=_xlpm.v), "X", "")))</f>
        <v/>
      </c>
      <c r="I18" s="64" t="str">
        <f>IF(CONTROLLO!$B$13="SI", "",_xlfn.LET(_xlpm.v, _xlfn.XLOOKUP('Calcolo Asma'!$G3, Valutazioni!$A$2:$A$20, Valutazioni!$E$2:$E$20, ""),IF(AND('Calcolo Asma'!$D3&lt;&gt;"", _xlpm.v&lt;&gt;"", 'Calcolo Asma'!$D3=_xlpm.v), "X", "")))</f>
        <v/>
      </c>
      <c r="J18" s="66" t="str">
        <f>IF(CONTROLLO!$B$13="SI", "",_xlfn.LET(_xlpm.v, _xlfn.XLOOKUP('Calcolo Asma'!$G3, Valutazioni!$A$2:$A$20, Valutazioni!$F$2:$F$20, ""),IF(AND('Calcolo Asma'!$D3&lt;&gt;"", _xlpm.v&lt;&gt;"", 'Calcolo Asma'!$D3=_xlpm.v), "X", "")))</f>
        <v/>
      </c>
    </row>
    <row r="19" spans="1:10">
      <c r="A19" s="41" t="str">
        <f>'Calcolo Asma'!F4</f>
        <v>valuta i rischi</v>
      </c>
      <c r="B19" s="12"/>
      <c r="C19" s="12"/>
      <c r="D19" s="12"/>
      <c r="E19" s="12"/>
      <c r="F19" s="64" t="str">
        <f>IF(CONTROLLO!$B$13="SI", "",_xlfn.LET(_xlpm.v, _xlfn.XLOOKUP('Calcolo Asma'!$G4, Valutazioni!$A$2:$A$20, Valutazioni!$B$2:$B$20, ""),IF(AND('Calcolo Asma'!$D4&lt;&gt;"", _xlpm.v&lt;&gt;"", 'Calcolo Asma'!$D4=_xlpm.v), "X", "")))</f>
        <v/>
      </c>
      <c r="G19" s="64" t="str">
        <f>IF(CONTROLLO!$B$13="SI", "",_xlfn.LET(_xlpm.v, _xlfn.XLOOKUP('Calcolo Asma'!$G4, Valutazioni!$A$2:$A$20, Valutazioni!$C$2:$C$20, ""),IF(AND('Calcolo Asma'!$D4&lt;&gt;"", _xlpm.v&lt;&gt;"", 'Calcolo Asma'!$D4=_xlpm.v), "X", "")))</f>
        <v/>
      </c>
      <c r="H19" s="64" t="str">
        <f>IF(CONTROLLO!$B$13="SI", "",_xlfn.LET(_xlpm.v, _xlfn.XLOOKUP('Calcolo Asma'!$G4, Valutazioni!$A$2:$A$20, Valutazioni!$D$2:$D$20, ""),IF(AND('Calcolo Asma'!$D4&lt;&gt;"", _xlpm.v&lt;&gt;"", 'Calcolo Asma'!$D4=_xlpm.v), "X", "")))</f>
        <v/>
      </c>
      <c r="I19" s="64" t="str">
        <f>IF(CONTROLLO!$B$13="SI", "",_xlfn.LET(_xlpm.v, _xlfn.XLOOKUP('Calcolo Asma'!$G4, Valutazioni!$A$2:$A$20, Valutazioni!$E$2:$E$20, ""),IF(AND('Calcolo Asma'!$D4&lt;&gt;"", _xlpm.v&lt;&gt;"", 'Calcolo Asma'!$D4=_xlpm.v), "X", "")))</f>
        <v/>
      </c>
      <c r="J19" s="66" t="str">
        <f>IF(CONTROLLO!$B$13="SI", "",_xlfn.LET(_xlpm.v, _xlfn.XLOOKUP('Calcolo Asma'!$G4, Valutazioni!$A$2:$A$20, Valutazioni!$F$2:$F$20, ""),IF(AND('Calcolo Asma'!$D4&lt;&gt;"", _xlpm.v&lt;&gt;"", 'Calcolo Asma'!$D4=_xlpm.v), "X", "")))</f>
        <v/>
      </c>
    </row>
    <row r="20" spans="1:10">
      <c r="A20" s="41" t="str">
        <f>'Calcolo Asma'!F5</f>
        <v>Rende sicura la scena</v>
      </c>
      <c r="B20" s="12"/>
      <c r="C20" s="12"/>
      <c r="D20" s="12"/>
      <c r="E20" s="12"/>
      <c r="F20" s="64" t="str">
        <f>IF(CONTROLLO!$B$13="SI", "",_xlfn.LET(_xlpm.v, _xlfn.XLOOKUP('Calcolo Asma'!$G5, Valutazioni!$A$2:$A$20, Valutazioni!$B$2:$B$20, ""),IF(AND('Calcolo Asma'!$D5&lt;&gt;"", _xlpm.v&lt;&gt;"", 'Calcolo Asma'!$D5=_xlpm.v), "X", "")))</f>
        <v/>
      </c>
      <c r="G20" s="64" t="str">
        <f>IF(CONTROLLO!$B$13="SI", "",_xlfn.LET(_xlpm.v, _xlfn.XLOOKUP('Calcolo Asma'!$G5, Valutazioni!$A$2:$A$20, Valutazioni!$C$2:$C$20, ""),IF(AND('Calcolo Asma'!$D5&lt;&gt;"", _xlpm.v&lt;&gt;"", 'Calcolo Asma'!$D5=_xlpm.v), "X", "")))</f>
        <v/>
      </c>
      <c r="H20" s="64" t="str">
        <f>IF(CONTROLLO!$B$13="SI", "",_xlfn.LET(_xlpm.v, _xlfn.XLOOKUP('Calcolo Asma'!$G5, Valutazioni!$A$2:$A$20, Valutazioni!$D$2:$D$20, ""),IF(AND('Calcolo Asma'!$D5&lt;&gt;"", _xlpm.v&lt;&gt;"", 'Calcolo Asma'!$D5=_xlpm.v), "X", "")))</f>
        <v/>
      </c>
      <c r="I20" s="64" t="str">
        <f>IF(CONTROLLO!$B$13="SI", "",_xlfn.LET(_xlpm.v, _xlfn.XLOOKUP('Calcolo Asma'!$G5, Valutazioni!$A$2:$A$20, Valutazioni!$E$2:$E$20, ""),IF(AND('Calcolo Asma'!$D5&lt;&gt;"", _xlpm.v&lt;&gt;"", 'Calcolo Asma'!$D5=_xlpm.v), "X", "")))</f>
        <v/>
      </c>
      <c r="J20" s="66" t="str">
        <f>IF(CONTROLLO!$B$13="SI", "",_xlfn.LET(_xlpm.v, _xlfn.XLOOKUP('Calcolo Asma'!$G5, Valutazioni!$A$2:$A$20, Valutazioni!$F$2:$F$20, ""),IF(AND('Calcolo Asma'!$D5&lt;&gt;"", _xlpm.v&lt;&gt;"", 'Calcolo Asma'!$D5=_xlpm.v), "X", "")))</f>
        <v/>
      </c>
    </row>
    <row r="21" spans="1:10">
      <c r="A21" s="41" t="str">
        <f>'Calcolo Asma'!F6</f>
        <v>si presenta come soccorritore</v>
      </c>
      <c r="B21" s="12"/>
      <c r="C21" s="12"/>
      <c r="D21" s="12"/>
      <c r="E21" s="12"/>
      <c r="F21" s="64" t="str">
        <f>IF(CONTROLLO!$B$13="SI", "",_xlfn.LET(_xlpm.v, _xlfn.XLOOKUP('Calcolo Asma'!$G6, Valutazioni!$A$2:$A$20, Valutazioni!$B$2:$B$20, ""),IF(AND('Calcolo Asma'!$D6&lt;&gt;"", _xlpm.v&lt;&gt;"", 'Calcolo Asma'!$D6=_xlpm.v), "X", "")))</f>
        <v/>
      </c>
      <c r="G21" s="64" t="str">
        <f>IF(CONTROLLO!$B$13="SI", "",_xlfn.LET(_xlpm.v, _xlfn.XLOOKUP('Calcolo Asma'!$G6, Valutazioni!$A$2:$A$20, Valutazioni!$C$2:$C$20, ""),IF(AND('Calcolo Asma'!$D6&lt;&gt;"", _xlpm.v&lt;&gt;"", 'Calcolo Asma'!$D6=_xlpm.v), "X", "")))</f>
        <v/>
      </c>
      <c r="H21" s="64" t="str">
        <f>IF(CONTROLLO!$B$13="SI", "",_xlfn.LET(_xlpm.v, _xlfn.XLOOKUP('Calcolo Asma'!$G6, Valutazioni!$A$2:$A$20, Valutazioni!$D$2:$D$20, ""),IF(AND('Calcolo Asma'!$D6&lt;&gt;"", _xlpm.v&lt;&gt;"", 'Calcolo Asma'!$D6=_xlpm.v), "X", "")))</f>
        <v/>
      </c>
      <c r="I21" s="64" t="str">
        <f>IF(CONTROLLO!$B$13="SI", "",_xlfn.LET(_xlpm.v, _xlfn.XLOOKUP('Calcolo Asma'!$G6, Valutazioni!$A$2:$A$20, Valutazioni!$E$2:$E$20, ""),IF(AND('Calcolo Asma'!$D6&lt;&gt;"", _xlpm.v&lt;&gt;"", 'Calcolo Asma'!$D6=_xlpm.v), "X", "")))</f>
        <v/>
      </c>
      <c r="J21" s="66" t="str">
        <f>IF(CONTROLLO!$B$13="SI", "",_xlfn.LET(_xlpm.v, _xlfn.XLOOKUP('Calcolo Asma'!$G6, Valutazioni!$A$2:$A$20, Valutazioni!$F$2:$F$20, ""),IF(AND('Calcolo Asma'!$D6&lt;&gt;"", _xlpm.v&lt;&gt;"", 'Calcolo Asma'!$D6=_xlpm.v), "X", "")))</f>
        <v/>
      </c>
    </row>
    <row r="22" spans="1:10">
      <c r="A22" s="41" t="str">
        <f>'Calcolo Asma'!F7</f>
        <v>parla con la persona/astanti  informandosi sull’accaduto</v>
      </c>
      <c r="B22" s="12"/>
      <c r="C22" s="12"/>
      <c r="D22" s="12"/>
      <c r="E22" s="12"/>
      <c r="F22" s="64" t="str">
        <f>IF(CONTROLLO!$B$13="SI", "",_xlfn.LET(_xlpm.v, _xlfn.XLOOKUP('Calcolo Asma'!$G7, Valutazioni!$A$2:$A$20, Valutazioni!$B$2:$B$20, ""),IF(AND('Calcolo Asma'!$D7&lt;&gt;"", _xlpm.v&lt;&gt;"", 'Calcolo Asma'!$D7=_xlpm.v), "X", "")))</f>
        <v/>
      </c>
      <c r="G22" s="64" t="str">
        <f>IF(CONTROLLO!$B$13="SI", "",_xlfn.LET(_xlpm.v, _xlfn.XLOOKUP('Calcolo Asma'!$G7, Valutazioni!$A$2:$A$20, Valutazioni!$C$2:$C$20, ""),IF(AND('Calcolo Asma'!$D7&lt;&gt;"", _xlpm.v&lt;&gt;"", 'Calcolo Asma'!$D7=_xlpm.v), "X", "")))</f>
        <v/>
      </c>
      <c r="H22" s="64" t="str">
        <f>IF(CONTROLLO!$B$13="SI", "",_xlfn.LET(_xlpm.v, _xlfn.XLOOKUP('Calcolo Asma'!$G7, Valutazioni!$A$2:$A$20, Valutazioni!$D$2:$D$20, ""),IF(AND('Calcolo Asma'!$D7&lt;&gt;"", _xlpm.v&lt;&gt;"", 'Calcolo Asma'!$D7=_xlpm.v), "X", "")))</f>
        <v/>
      </c>
      <c r="I22" s="64" t="str">
        <f>IF(CONTROLLO!$B$13="SI", "",_xlfn.LET(_xlpm.v, _xlfn.XLOOKUP('Calcolo Asma'!$G7, Valutazioni!$A$2:$A$20, Valutazioni!$E$2:$E$20, ""),IF(AND('Calcolo Asma'!$D7&lt;&gt;"", _xlpm.v&lt;&gt;"", 'Calcolo Asma'!$D7=_xlpm.v), "X", "")))</f>
        <v/>
      </c>
      <c r="J22" s="66" t="str">
        <f>IF(CONTROLLO!$B$13="SI", "",_xlfn.LET(_xlpm.v, _xlfn.XLOOKUP('Calcolo Asma'!$G7, Valutazioni!$A$2:$A$20, Valutazioni!$F$2:$F$20, ""),IF(AND('Calcolo Asma'!$D7&lt;&gt;"", _xlpm.v&lt;&gt;"", 'Calcolo Asma'!$D7=_xlpm.v), "X", "")))</f>
        <v/>
      </c>
    </row>
    <row r="23" spans="1:10">
      <c r="A23" s="41" t="str">
        <f>'Calcolo Asma'!F8</f>
        <v>atteggiamento professionale (cortese ma determinato)</v>
      </c>
      <c r="B23" s="12"/>
      <c r="C23" s="12"/>
      <c r="D23" s="12"/>
      <c r="E23" s="12"/>
      <c r="F23" s="64" t="str">
        <f>IF(CONTROLLO!$B$13="SI", "",_xlfn.LET(_xlpm.v, _xlfn.XLOOKUP('Calcolo Asma'!$G8, Valutazioni!$A$2:$A$20, Valutazioni!$B$2:$B$20, ""),IF(AND('Calcolo Asma'!$D8&lt;&gt;"", _xlpm.v&lt;&gt;"", 'Calcolo Asma'!$D8=_xlpm.v), "X", "")))</f>
        <v/>
      </c>
      <c r="G23" s="64" t="str">
        <f>IF(CONTROLLO!$B$13="SI", "",_xlfn.LET(_xlpm.v, _xlfn.XLOOKUP('Calcolo Asma'!$G8, Valutazioni!$A$2:$A$20, Valutazioni!$C$2:$C$20, ""),IF(AND('Calcolo Asma'!$D8&lt;&gt;"", _xlpm.v&lt;&gt;"", 'Calcolo Asma'!$D8=_xlpm.v), "X", "")))</f>
        <v/>
      </c>
      <c r="H23" s="64" t="str">
        <f>IF(CONTROLLO!$B$13="SI", "",_xlfn.LET(_xlpm.v, _xlfn.XLOOKUP('Calcolo Asma'!$G8, Valutazioni!$A$2:$A$20, Valutazioni!$D$2:$D$20, ""),IF(AND('Calcolo Asma'!$D8&lt;&gt;"", _xlpm.v&lt;&gt;"", 'Calcolo Asma'!$D8=_xlpm.v), "X", "")))</f>
        <v/>
      </c>
      <c r="I23" s="64" t="str">
        <f>IF(CONTROLLO!$B$13="SI", "",_xlfn.LET(_xlpm.v, _xlfn.XLOOKUP('Calcolo Asma'!$G8, Valutazioni!$A$2:$A$20, Valutazioni!$E$2:$E$20, ""),IF(AND('Calcolo Asma'!$D8&lt;&gt;"", _xlpm.v&lt;&gt;"", 'Calcolo Asma'!$D8=_xlpm.v), "X", "")))</f>
        <v/>
      </c>
      <c r="J23" s="66" t="str">
        <f>IF(CONTROLLO!$B$13="SI", "",_xlfn.LET(_xlpm.v, _xlfn.XLOOKUP('Calcolo Asma'!$G8, Valutazioni!$A$2:$A$20, Valutazioni!$F$2:$F$20, ""),IF(AND('Calcolo Asma'!$D8&lt;&gt;"", _xlpm.v&lt;&gt;"", 'Calcolo Asma'!$D8=_xlpm.v), "X", "")))</f>
        <v/>
      </c>
    </row>
    <row r="24" spans="1:10">
      <c r="A24" s="41" t="str">
        <f>'Calcolo Asma'!F9</f>
        <v>mantiene il contatto visivo con il paziente</v>
      </c>
      <c r="B24" s="12"/>
      <c r="C24" s="12"/>
      <c r="D24" s="12"/>
      <c r="E24" s="12"/>
      <c r="F24" s="64" t="str">
        <f>IF(CONTROLLO!$B$13="SI", "",_xlfn.LET(_xlpm.v, _xlfn.XLOOKUP('Calcolo Asma'!$G9, Valutazioni!$A$2:$A$20, Valutazioni!$B$2:$B$20, ""),IF(AND('Calcolo Asma'!$D9&lt;&gt;"", _xlpm.v&lt;&gt;"", 'Calcolo Asma'!$D9=_xlpm.v), "X", "")))</f>
        <v/>
      </c>
      <c r="G24" s="64" t="str">
        <f>IF(CONTROLLO!$B$13="SI", "",_xlfn.LET(_xlpm.v, _xlfn.XLOOKUP('Calcolo Asma'!$G9, Valutazioni!$A$2:$A$20, Valutazioni!$C$2:$C$20, ""),IF(AND('Calcolo Asma'!$D9&lt;&gt;"", _xlpm.v&lt;&gt;"", 'Calcolo Asma'!$D9=_xlpm.v), "X", "")))</f>
        <v/>
      </c>
      <c r="H24" s="64" t="str">
        <f>IF(CONTROLLO!$B$13="SI", "",_xlfn.LET(_xlpm.v, _xlfn.XLOOKUP('Calcolo Asma'!$G9, Valutazioni!$A$2:$A$20, Valutazioni!$D$2:$D$20, ""),IF(AND('Calcolo Asma'!$D9&lt;&gt;"", _xlpm.v&lt;&gt;"", 'Calcolo Asma'!$D9=_xlpm.v), "X", "")))</f>
        <v/>
      </c>
      <c r="I24" s="64" t="str">
        <f>IF(CONTROLLO!$B$13="SI", "",_xlfn.LET(_xlpm.v, _xlfn.XLOOKUP('Calcolo Asma'!$G9, Valutazioni!$A$2:$A$20, Valutazioni!$E$2:$E$20, ""),IF(AND('Calcolo Asma'!$D9&lt;&gt;"", _xlpm.v&lt;&gt;"", 'Calcolo Asma'!$D9=_xlpm.v), "X", "")))</f>
        <v/>
      </c>
      <c r="J24" s="66" t="str">
        <f>IF(CONTROLLO!$B$13="SI", "",_xlfn.LET(_xlpm.v, _xlfn.XLOOKUP('Calcolo Asma'!$G9, Valutazioni!$A$2:$A$20, Valutazioni!$F$2:$F$20, ""),IF(AND('Calcolo Asma'!$D9&lt;&gt;"", _xlpm.v&lt;&gt;"", 'Calcolo Asma'!$D9=_xlpm.v), "X", "")))</f>
        <v/>
      </c>
    </row>
    <row r="25" spans="1:10">
      <c r="A25" s="41" t="str">
        <f>'Calcolo Asma'!F10</f>
        <v>consenso informato</v>
      </c>
      <c r="B25" s="12"/>
      <c r="C25" s="12"/>
      <c r="D25" s="12"/>
      <c r="E25" s="12"/>
      <c r="F25" s="64" t="str">
        <f>IF(CONTROLLO!$B$13="SI", "",_xlfn.LET(_xlpm.v, _xlfn.XLOOKUP('Calcolo Asma'!$G10, Valutazioni!$A$2:$A$20, Valutazioni!$B$2:$B$20, ""),IF(AND('Calcolo Asma'!$D10&lt;&gt;"", _xlpm.v&lt;&gt;"", 'Calcolo Asma'!$D10=_xlpm.v), "X", "")))</f>
        <v/>
      </c>
      <c r="G25" s="64" t="str">
        <f>IF(CONTROLLO!$B$13="SI", "",_xlfn.LET(_xlpm.v, _xlfn.XLOOKUP('Calcolo Asma'!$G10, Valutazioni!$A$2:$A$20, Valutazioni!$C$2:$C$20, ""),IF(AND('Calcolo Asma'!$D10&lt;&gt;"", _xlpm.v&lt;&gt;"", 'Calcolo Asma'!$D10=_xlpm.v), "X", "")))</f>
        <v/>
      </c>
      <c r="H25" s="64" t="str">
        <f>IF(CONTROLLO!$B$13="SI", "",_xlfn.LET(_xlpm.v, _xlfn.XLOOKUP('Calcolo Asma'!$G10, Valutazioni!$A$2:$A$20, Valutazioni!$D$2:$D$20, ""),IF(AND('Calcolo Asma'!$D10&lt;&gt;"", _xlpm.v&lt;&gt;"", 'Calcolo Asma'!$D10=_xlpm.v), "X", "")))</f>
        <v/>
      </c>
      <c r="I25" s="64" t="str">
        <f>IF(CONTROLLO!$B$13="SI", "",_xlfn.LET(_xlpm.v, _xlfn.XLOOKUP('Calcolo Asma'!$G10, Valutazioni!$A$2:$A$20, Valutazioni!$E$2:$E$20, ""),IF(AND('Calcolo Asma'!$D10&lt;&gt;"", _xlpm.v&lt;&gt;"", 'Calcolo Asma'!$D10=_xlpm.v), "X", "")))</f>
        <v/>
      </c>
      <c r="J25" s="66" t="str">
        <f>IF(CONTROLLO!$B$13="SI", "",_xlfn.LET(_xlpm.v, _xlfn.XLOOKUP('Calcolo Asma'!$G10, Valutazioni!$A$2:$A$20, Valutazioni!$F$2:$F$20, ""),IF(AND('Calcolo Asma'!$D10&lt;&gt;"", _xlpm.v&lt;&gt;"", 'Calcolo Asma'!$D10=_xlpm.v), "X", "")))</f>
        <v/>
      </c>
    </row>
    <row r="26" spans="1:10">
      <c r="A26" s="85" t="str">
        <f>'Calcolo Asma'!F11</f>
        <v>MISURE DI PRIMO SOCCORSO</v>
      </c>
      <c r="B26" s="86"/>
      <c r="C26" s="86"/>
      <c r="D26" s="86"/>
      <c r="E26" s="86"/>
      <c r="F26" s="64" t="str">
        <f>IF(CONTROLLO!$B$13="SI", "",_xlfn.LET(_xlpm.v, _xlfn.XLOOKUP('Calcolo Asma'!$G11, Valutazioni!$A$2:$A$20, Valutazioni!$B$2:$B$20, ""),IF(AND('Calcolo Asma'!$D11&lt;&gt;"", _xlpm.v&lt;&gt;"", 'Calcolo Asma'!$D11=_xlpm.v), "X", "")))</f>
        <v/>
      </c>
      <c r="G26" s="64" t="str">
        <f>IF(CONTROLLO!$B$13="SI", "",_xlfn.LET(_xlpm.v, _xlfn.XLOOKUP('Calcolo Asma'!$G11, Valutazioni!$A$2:$A$20, Valutazioni!$C$2:$C$20, ""),IF(AND('Calcolo Asma'!$D11&lt;&gt;"", _xlpm.v&lt;&gt;"", 'Calcolo Asma'!$D11=_xlpm.v), "X", "")))</f>
        <v/>
      </c>
      <c r="H26" s="64" t="str">
        <f>IF(CONTROLLO!$B$13="SI", "",_xlfn.LET(_xlpm.v, _xlfn.XLOOKUP('Calcolo Asma'!$G11, Valutazioni!$A$2:$A$20, Valutazioni!$D$2:$D$20, ""),IF(AND('Calcolo Asma'!$D11&lt;&gt;"", _xlpm.v&lt;&gt;"", 'Calcolo Asma'!$D11=_xlpm.v), "X", "")))</f>
        <v/>
      </c>
      <c r="I26" s="64" t="str">
        <f>IF(CONTROLLO!$B$13="SI", "",_xlfn.LET(_xlpm.v, _xlfn.XLOOKUP('Calcolo Asma'!$G11, Valutazioni!$A$2:$A$20, Valutazioni!$E$2:$E$20, ""),IF(AND('Calcolo Asma'!$D11&lt;&gt;"", _xlpm.v&lt;&gt;"", 'Calcolo Asma'!$D11=_xlpm.v), "X", "")))</f>
        <v/>
      </c>
      <c r="J26" s="66" t="str">
        <f>IF(CONTROLLO!$B$13="SI", "",_xlfn.LET(_xlpm.v, _xlfn.XLOOKUP('Calcolo Asma'!$G11, Valutazioni!$A$2:$A$20, Valutazioni!$F$2:$F$20, ""),IF(AND('Calcolo Asma'!$D11&lt;&gt;"", _xlpm.v&lt;&gt;"", 'Calcolo Asma'!$D11=_xlpm.v), "X", "")))</f>
        <v/>
      </c>
    </row>
    <row r="27" spans="1:10">
      <c r="A27" s="41" t="str">
        <f>'Calcolo Asma'!F12</f>
        <v>lo asseconda e lo tranquillizza</v>
      </c>
      <c r="B27" s="12"/>
      <c r="C27" s="12"/>
      <c r="D27" s="12"/>
      <c r="E27" s="12"/>
      <c r="F27" s="64" t="str">
        <f>IF(CONTROLLO!$B$13="SI", "",_xlfn.LET(_xlpm.v, _xlfn.XLOOKUP('Calcolo Asma'!$G12, Valutazioni!$A$2:$A$20, Valutazioni!$B$2:$B$20, ""),IF(AND('Calcolo Asma'!$D12&lt;&gt;"", _xlpm.v&lt;&gt;"", 'Calcolo Asma'!$D12=_xlpm.v), "X", "")))</f>
        <v/>
      </c>
      <c r="G27" s="64" t="str">
        <f>IF(CONTROLLO!$B$13="SI", "",_xlfn.LET(_xlpm.v, _xlfn.XLOOKUP('Calcolo Asma'!$G12, Valutazioni!$A$2:$A$20, Valutazioni!$C$2:$C$20, ""),IF(AND('Calcolo Asma'!$D12&lt;&gt;"", _xlpm.v&lt;&gt;"", 'Calcolo Asma'!$D12=_xlpm.v), "X", "")))</f>
        <v/>
      </c>
      <c r="H27" s="64" t="str">
        <f>IF(CONTROLLO!$B$13="SI", "",_xlfn.LET(_xlpm.v, _xlfn.XLOOKUP('Calcolo Asma'!$G12, Valutazioni!$A$2:$A$20, Valutazioni!$D$2:$D$20, ""),IF(AND('Calcolo Asma'!$D12&lt;&gt;"", _xlpm.v&lt;&gt;"", 'Calcolo Asma'!$D12=_xlpm.v), "X", "")))</f>
        <v/>
      </c>
      <c r="I27" s="64" t="str">
        <f>IF(CONTROLLO!$B$13="SI", "",_xlfn.LET(_xlpm.v, _xlfn.XLOOKUP('Calcolo Asma'!$G12, Valutazioni!$A$2:$A$20, Valutazioni!$E$2:$E$20, ""),IF(AND('Calcolo Asma'!$D12&lt;&gt;"", _xlpm.v&lt;&gt;"", 'Calcolo Asma'!$D12=_xlpm.v), "X", "")))</f>
        <v/>
      </c>
      <c r="J27" s="66" t="str">
        <f>IF(CONTROLLO!$B$13="SI", "",_xlfn.LET(_xlpm.v, _xlfn.XLOOKUP('Calcolo Asma'!$G12, Valutazioni!$A$2:$A$20, Valutazioni!$F$2:$F$20, ""),IF(AND('Calcolo Asma'!$D12&lt;&gt;"", _xlpm.v&lt;&gt;"", 'Calcolo Asma'!$D12=_xlpm.v), "X", "")))</f>
        <v/>
      </c>
    </row>
    <row r="28" spans="1:10">
      <c r="A28" s="41" t="str">
        <f>'Calcolo Asma'!F13</f>
        <v>lo aiuta a sedersi</v>
      </c>
      <c r="B28" s="12"/>
      <c r="C28" s="12"/>
      <c r="D28" s="12"/>
      <c r="E28" s="12"/>
      <c r="F28" s="64" t="str">
        <f>IF(CONTROLLO!$B$13="SI", "",_xlfn.LET(_xlpm.v, _xlfn.XLOOKUP('Calcolo Asma'!$G13, Valutazioni!$A$2:$A$20, Valutazioni!$B$2:$B$20, ""),IF(AND('Calcolo Asma'!$D13&lt;&gt;"", _xlpm.v&lt;&gt;"", 'Calcolo Asma'!$D13=_xlpm.v), "X", "")))</f>
        <v/>
      </c>
      <c r="G28" s="64" t="str">
        <f>IF(CONTROLLO!$B$13="SI", "",_xlfn.LET(_xlpm.v, _xlfn.XLOOKUP('Calcolo Asma'!$G13, Valutazioni!$A$2:$A$20, Valutazioni!$C$2:$C$20, ""),IF(AND('Calcolo Asma'!$D13&lt;&gt;"", _xlpm.v&lt;&gt;"", 'Calcolo Asma'!$D13=_xlpm.v), "X", "")))</f>
        <v/>
      </c>
      <c r="H28" s="64" t="str">
        <f>IF(CONTROLLO!$B$13="SI", "",_xlfn.LET(_xlpm.v, _xlfn.XLOOKUP('Calcolo Asma'!$G13, Valutazioni!$A$2:$A$20, Valutazioni!$D$2:$D$20, ""),IF(AND('Calcolo Asma'!$D13&lt;&gt;"", _xlpm.v&lt;&gt;"", 'Calcolo Asma'!$D13=_xlpm.v), "X", "")))</f>
        <v/>
      </c>
      <c r="I28" s="64" t="str">
        <f>IF(CONTROLLO!$B$13="SI", "",_xlfn.LET(_xlpm.v, _xlfn.XLOOKUP('Calcolo Asma'!$G13, Valutazioni!$A$2:$A$20, Valutazioni!$E$2:$E$20, ""),IF(AND('Calcolo Asma'!$D13&lt;&gt;"", _xlpm.v&lt;&gt;"", 'Calcolo Asma'!$D13=_xlpm.v), "X", "")))</f>
        <v/>
      </c>
      <c r="J28" s="66" t="str">
        <f>IF(CONTROLLO!$B$13="SI", "",_xlfn.LET(_xlpm.v, _xlfn.XLOOKUP('Calcolo Asma'!$G13, Valutazioni!$A$2:$A$20, Valutazioni!$F$2:$F$20, ""),IF(AND('Calcolo Asma'!$D13&lt;&gt;"", _xlpm.v&lt;&gt;"", 'Calcolo Asma'!$D13=_xlpm.v), "X", "")))</f>
        <v/>
      </c>
    </row>
    <row r="29" spans="1:10">
      <c r="A29" s="41" t="str">
        <f>'Calcolo Asma'!F14</f>
        <v>valuta la qualità del respiro</v>
      </c>
      <c r="B29" s="12"/>
      <c r="C29" s="12"/>
      <c r="D29" s="12"/>
      <c r="E29" s="12"/>
      <c r="F29" s="64" t="str">
        <f>IF(CONTROLLO!$B$13="SI", "",_xlfn.LET(_xlpm.v, _xlfn.XLOOKUP('Calcolo Asma'!$G14, Valutazioni!$A$2:$A$20, Valutazioni!$B$2:$B$20, ""),IF(AND('Calcolo Asma'!$D14&lt;&gt;"", _xlpm.v&lt;&gt;"", 'Calcolo Asma'!$D14=_xlpm.v), "X", "")))</f>
        <v/>
      </c>
      <c r="G29" s="64" t="str">
        <f>IF(CONTROLLO!$B$13="SI", "",_xlfn.LET(_xlpm.v, _xlfn.XLOOKUP('Calcolo Asma'!$G14, Valutazioni!$A$2:$A$20, Valutazioni!$C$2:$C$20, ""),IF(AND('Calcolo Asma'!$D14&lt;&gt;"", _xlpm.v&lt;&gt;"", 'Calcolo Asma'!$D14=_xlpm.v), "X", "")))</f>
        <v/>
      </c>
      <c r="H29" s="64" t="str">
        <f>IF(CONTROLLO!$B$13="SI", "",_xlfn.LET(_xlpm.v, _xlfn.XLOOKUP('Calcolo Asma'!$G14, Valutazioni!$A$2:$A$20, Valutazioni!$D$2:$D$20, ""),IF(AND('Calcolo Asma'!$D14&lt;&gt;"", _xlpm.v&lt;&gt;"", 'Calcolo Asma'!$D14=_xlpm.v), "X", "")))</f>
        <v/>
      </c>
      <c r="I29" s="64" t="str">
        <f>IF(CONTROLLO!$B$13="SI", "",_xlfn.LET(_xlpm.v, _xlfn.XLOOKUP('Calcolo Asma'!$G14, Valutazioni!$A$2:$A$20, Valutazioni!$E$2:$E$20, ""),IF(AND('Calcolo Asma'!$D14&lt;&gt;"", _xlpm.v&lt;&gt;"", 'Calcolo Asma'!$D14=_xlpm.v), "X", "")))</f>
        <v/>
      </c>
      <c r="J29" s="66" t="str">
        <f>IF(CONTROLLO!$B$13="SI", "",_xlfn.LET(_xlpm.v, _xlfn.XLOOKUP('Calcolo Asma'!$G14, Valutazioni!$A$2:$A$20, Valutazioni!$F$2:$F$20, ""),IF(AND('Calcolo Asma'!$D14&lt;&gt;"", _xlpm.v&lt;&gt;"", 'Calcolo Asma'!$D14=_xlpm.v), "X", "")))</f>
        <v/>
      </c>
    </row>
    <row r="30" spans="1:10">
      <c r="A30" s="41" t="str">
        <f>'Calcolo Asma'!F15</f>
        <v>Si informa sulla patologia (ASMA)</v>
      </c>
      <c r="B30" s="12"/>
      <c r="C30" s="12"/>
      <c r="D30" s="12"/>
      <c r="E30" s="12"/>
      <c r="F30" s="64" t="str">
        <f>IF(CONTROLLO!$B$13="SI", "",_xlfn.LET(_xlpm.v, _xlfn.XLOOKUP('Calcolo Asma'!$G15, Valutazioni!$A$2:$A$20, Valutazioni!$B$2:$B$20, ""),IF(AND('Calcolo Asma'!$D15&lt;&gt;"", _xlpm.v&lt;&gt;"", 'Calcolo Asma'!$D15=_xlpm.v), "X", "")))</f>
        <v/>
      </c>
      <c r="G30" s="64" t="str">
        <f>IF(CONTROLLO!$B$13="SI", "",_xlfn.LET(_xlpm.v, _xlfn.XLOOKUP('Calcolo Asma'!$G15, Valutazioni!$A$2:$A$20, Valutazioni!$C$2:$C$20, ""),IF(AND('Calcolo Asma'!$D15&lt;&gt;"", _xlpm.v&lt;&gt;"", 'Calcolo Asma'!$D15=_xlpm.v), "X", "")))</f>
        <v/>
      </c>
      <c r="H30" s="64" t="str">
        <f>IF(CONTROLLO!$B$13="SI", "",_xlfn.LET(_xlpm.v, _xlfn.XLOOKUP('Calcolo Asma'!$G15, Valutazioni!$A$2:$A$20, Valutazioni!$D$2:$D$20, ""),IF(AND('Calcolo Asma'!$D15&lt;&gt;"", _xlpm.v&lt;&gt;"", 'Calcolo Asma'!$D15=_xlpm.v), "X", "")))</f>
        <v/>
      </c>
      <c r="I30" s="64" t="str">
        <f>IF(CONTROLLO!$B$13="SI", "",_xlfn.LET(_xlpm.v, _xlfn.XLOOKUP('Calcolo Asma'!$G15, Valutazioni!$A$2:$A$20, Valutazioni!$E$2:$E$20, ""),IF(AND('Calcolo Asma'!$D15&lt;&gt;"", _xlpm.v&lt;&gt;"", 'Calcolo Asma'!$D15=_xlpm.v), "X", "")))</f>
        <v/>
      </c>
      <c r="J30" s="66" t="str">
        <f>IF(CONTROLLO!$B$13="SI", "",_xlfn.LET(_xlpm.v, _xlfn.XLOOKUP('Calcolo Asma'!$G15, Valutazioni!$A$2:$A$20, Valutazioni!$F$2:$F$20, ""),IF(AND('Calcolo Asma'!$D15&lt;&gt;"", _xlpm.v&lt;&gt;"", 'Calcolo Asma'!$D15=_xlpm.v), "X", "")))</f>
        <v/>
      </c>
    </row>
    <row r="31" spans="1:10">
      <c r="A31" s="41" t="str">
        <f>'Calcolo Asma'!F16</f>
        <v>Cerca o fa cercare il Ventoln</v>
      </c>
      <c r="B31" s="12"/>
      <c r="C31" s="12"/>
      <c r="D31" s="12"/>
      <c r="E31" s="12"/>
      <c r="F31" s="64" t="str">
        <f>IF(CONTROLLO!$B$13="SI", "",_xlfn.LET(_xlpm.v, _xlfn.XLOOKUP('Calcolo Asma'!$G16, Valutazioni!$A$2:$A$20, Valutazioni!$B$2:$B$20, ""),IF(AND('Calcolo Asma'!$D16&lt;&gt;"", _xlpm.v&lt;&gt;"", 'Calcolo Asma'!$D16=_xlpm.v), "X", "")))</f>
        <v/>
      </c>
      <c r="G31" s="64" t="str">
        <f>IF(CONTROLLO!$B$13="SI", "",_xlfn.LET(_xlpm.v, _xlfn.XLOOKUP('Calcolo Asma'!$G16, Valutazioni!$A$2:$A$20, Valutazioni!$C$2:$C$20, ""),IF(AND('Calcolo Asma'!$D16&lt;&gt;"", _xlpm.v&lt;&gt;"", 'Calcolo Asma'!$D16=_xlpm.v), "X", "")))</f>
        <v/>
      </c>
      <c r="H31" s="64" t="str">
        <f>IF(CONTROLLO!$B$13="SI", "",_xlfn.LET(_xlpm.v, _xlfn.XLOOKUP('Calcolo Asma'!$G16, Valutazioni!$A$2:$A$20, Valutazioni!$D$2:$D$20, ""),IF(AND('Calcolo Asma'!$D16&lt;&gt;"", _xlpm.v&lt;&gt;"", 'Calcolo Asma'!$D16=_xlpm.v), "X", "")))</f>
        <v/>
      </c>
      <c r="I31" s="64" t="str">
        <f>IF(CONTROLLO!$B$13="SI", "",_xlfn.LET(_xlpm.v, _xlfn.XLOOKUP('Calcolo Asma'!$G16, Valutazioni!$A$2:$A$20, Valutazioni!$E$2:$E$20, ""),IF(AND('Calcolo Asma'!$D16&lt;&gt;"", _xlpm.v&lt;&gt;"", 'Calcolo Asma'!$D16=_xlpm.v), "X", "")))</f>
        <v/>
      </c>
      <c r="J31" s="66" t="str">
        <f>IF(CONTROLLO!$B$13="SI", "",_xlfn.LET(_xlpm.v, _xlfn.XLOOKUP('Calcolo Asma'!$G16, Valutazioni!$A$2:$A$20, Valutazioni!$F$2:$F$20, ""),IF(AND('Calcolo Asma'!$D16&lt;&gt;"", _xlpm.v&lt;&gt;"", 'Calcolo Asma'!$D16=_xlpm.v), "X", "")))</f>
        <v/>
      </c>
    </row>
    <row r="32" spans="1:10">
      <c r="A32" s="41" t="str">
        <f>'Calcolo Asma'!F17</f>
        <v>Aiuta ad automministrare il ventolin</v>
      </c>
      <c r="B32" s="12"/>
      <c r="C32" s="12"/>
      <c r="D32" s="12"/>
      <c r="E32" s="12"/>
      <c r="F32" s="64" t="str">
        <f>IF(CONTROLLO!$B$13="SI", "",_xlfn.LET(_xlpm.v, _xlfn.XLOOKUP('Calcolo Asma'!$G17, Valutazioni!$A$2:$A$20, Valutazioni!$B$2:$B$20, ""),IF(AND('Calcolo Asma'!$D17&lt;&gt;"", _xlpm.v&lt;&gt;"", 'Calcolo Asma'!$D17=_xlpm.v), "X", "")))</f>
        <v/>
      </c>
      <c r="G32" s="64" t="str">
        <f>IF(CONTROLLO!$B$13="SI", "",_xlfn.LET(_xlpm.v, _xlfn.XLOOKUP('Calcolo Asma'!$G17, Valutazioni!$A$2:$A$20, Valutazioni!$C$2:$C$20, ""),IF(AND('Calcolo Asma'!$D17&lt;&gt;"", _xlpm.v&lt;&gt;"", 'Calcolo Asma'!$D17=_xlpm.v), "X", "")))</f>
        <v/>
      </c>
      <c r="H32" s="64" t="str">
        <f>IF(CONTROLLO!$B$13="SI", "",_xlfn.LET(_xlpm.v, _xlfn.XLOOKUP('Calcolo Asma'!$G17, Valutazioni!$A$2:$A$20, Valutazioni!$D$2:$D$20, ""),IF(AND('Calcolo Asma'!$D17&lt;&gt;"", _xlpm.v&lt;&gt;"", 'Calcolo Asma'!$D17=_xlpm.v), "X", "")))</f>
        <v/>
      </c>
      <c r="I32" s="64" t="str">
        <f>IF(CONTROLLO!$B$13="SI", "",_xlfn.LET(_xlpm.v, _xlfn.XLOOKUP('Calcolo Asma'!$G17, Valutazioni!$A$2:$A$20, Valutazioni!$E$2:$E$20, ""),IF(AND('Calcolo Asma'!$D17&lt;&gt;"", _xlpm.v&lt;&gt;"", 'Calcolo Asma'!$D17=_xlpm.v), "X", "")))</f>
        <v/>
      </c>
      <c r="J32" s="66" t="str">
        <f>IF(CONTROLLO!$B$13="SI", "",_xlfn.LET(_xlpm.v, _xlfn.XLOOKUP('Calcolo Asma'!$G17, Valutazioni!$A$2:$A$20, Valutazioni!$F$2:$F$20, ""),IF(AND('Calcolo Asma'!$D17&lt;&gt;"", _xlpm.v&lt;&gt;"", 'Calcolo Asma'!$D17=_xlpm.v), "X", "")))</f>
        <v/>
      </c>
    </row>
    <row r="33" spans="1:10">
      <c r="A33" s="41" t="str">
        <f>'Calcolo Asma'!F18</f>
        <v>valuta circolo per 10 sec.</v>
      </c>
      <c r="B33" s="12"/>
      <c r="C33" s="12"/>
      <c r="D33" s="12"/>
      <c r="E33" s="12"/>
      <c r="F33" s="64" t="str">
        <f>IF(CONTROLLO!$B$13="SI", "",_xlfn.LET(_xlpm.v, _xlfn.XLOOKUP('Calcolo Asma'!$G18, Valutazioni!$A$2:$A$20, Valutazioni!$B$2:$B$20, ""),IF(AND('Calcolo Asma'!$D18&lt;&gt;"", _xlpm.v&lt;&gt;"", 'Calcolo Asma'!$D18=_xlpm.v), "X", "")))</f>
        <v/>
      </c>
      <c r="G33" s="64" t="str">
        <f>IF(CONTROLLO!$B$13="SI", "",_xlfn.LET(_xlpm.v, _xlfn.XLOOKUP('Calcolo Asma'!$G18, Valutazioni!$A$2:$A$20, Valutazioni!$C$2:$C$20, ""),IF(AND('Calcolo Asma'!$D18&lt;&gt;"", _xlpm.v&lt;&gt;"", 'Calcolo Asma'!$D18=_xlpm.v), "X", "")))</f>
        <v/>
      </c>
      <c r="H33" s="64" t="str">
        <f>IF(CONTROLLO!$B$13="SI", "",_xlfn.LET(_xlpm.v, _xlfn.XLOOKUP('Calcolo Asma'!$G18, Valutazioni!$A$2:$A$20, Valutazioni!$D$2:$D$20, ""),IF(AND('Calcolo Asma'!$D18&lt;&gt;"", _xlpm.v&lt;&gt;"", 'Calcolo Asma'!$D18=_xlpm.v), "X", "")))</f>
        <v/>
      </c>
      <c r="I33" s="64" t="str">
        <f>IF(CONTROLLO!$B$13="SI", "",_xlfn.LET(_xlpm.v, _xlfn.XLOOKUP('Calcolo Asma'!$G18, Valutazioni!$A$2:$A$20, Valutazioni!$E$2:$E$20, ""),IF(AND('Calcolo Asma'!$D18&lt;&gt;"", _xlpm.v&lt;&gt;"", 'Calcolo Asma'!$D18=_xlpm.v), "X", "")))</f>
        <v/>
      </c>
      <c r="J33" s="66" t="str">
        <f>IF(CONTROLLO!$B$13="SI", "",_xlfn.LET(_xlpm.v, _xlfn.XLOOKUP('Calcolo Asma'!$G18, Valutazioni!$A$2:$A$20, Valutazioni!$F$2:$F$20, ""),IF(AND('Calcolo Asma'!$D18&lt;&gt;"", _xlpm.v&lt;&gt;"", 'Calcolo Asma'!$D18=_xlpm.v), "X", "")))</f>
        <v/>
      </c>
    </row>
    <row r="34" spans="1:10">
      <c r="A34" s="41" t="str">
        <f>'Calcolo Asma'!F19</f>
        <v>rivaluta (ABC)</v>
      </c>
      <c r="B34" s="12"/>
      <c r="C34" s="12"/>
      <c r="D34" s="12"/>
      <c r="E34" s="12"/>
      <c r="F34" s="64" t="str">
        <f>IF(CONTROLLO!$B$13="SI", "",_xlfn.LET(_xlpm.v, _xlfn.XLOOKUP('Calcolo Asma'!$G19, Valutazioni!$A$2:$A$20, Valutazioni!$B$2:$B$20, ""),IF(AND('Calcolo Asma'!$D19&lt;&gt;"", _xlpm.v&lt;&gt;"", 'Calcolo Asma'!$D19=_xlpm.v), "X", "")))</f>
        <v/>
      </c>
      <c r="G34" s="64" t="str">
        <f>IF(CONTROLLO!$B$13="SI", "",_xlfn.LET(_xlpm.v, _xlfn.XLOOKUP('Calcolo Asma'!$G19, Valutazioni!$A$2:$A$20, Valutazioni!$C$2:$C$20, ""),IF(AND('Calcolo Asma'!$D19&lt;&gt;"", _xlpm.v&lt;&gt;"", 'Calcolo Asma'!$D19=_xlpm.v), "X", "")))</f>
        <v/>
      </c>
      <c r="H34" s="64" t="str">
        <f>IF(CONTROLLO!$B$13="SI", "",_xlfn.LET(_xlpm.v, _xlfn.XLOOKUP('Calcolo Asma'!$G19, Valutazioni!$A$2:$A$20, Valutazioni!$D$2:$D$20, ""),IF(AND('Calcolo Asma'!$D19&lt;&gt;"", _xlpm.v&lt;&gt;"", 'Calcolo Asma'!$D19=_xlpm.v), "X", "")))</f>
        <v/>
      </c>
      <c r="I34" s="64" t="str">
        <f>IF(CONTROLLO!$B$13="SI", "",_xlfn.LET(_xlpm.v, _xlfn.XLOOKUP('Calcolo Asma'!$G19, Valutazioni!$A$2:$A$20, Valutazioni!$E$2:$E$20, ""),IF(AND('Calcolo Asma'!$D19&lt;&gt;"", _xlpm.v&lt;&gt;"", 'Calcolo Asma'!$D19=_xlpm.v), "X", "")))</f>
        <v/>
      </c>
      <c r="J34" s="66" t="str">
        <f>IF(CONTROLLO!$B$13="SI", "",_xlfn.LET(_xlpm.v, _xlfn.XLOOKUP('Calcolo Asma'!$G19, Valutazioni!$A$2:$A$20, Valutazioni!$F$2:$F$20, ""),IF(AND('Calcolo Asma'!$D19&lt;&gt;"", _xlpm.v&lt;&gt;"", 'Calcolo Asma'!$D19=_xlpm.v), "X", "")))</f>
        <v/>
      </c>
    </row>
    <row r="35" spans="1:10">
      <c r="A35" s="41" t="str">
        <f>'Calcolo Asma'!F20</f>
        <v>protezione termica adeguata</v>
      </c>
      <c r="B35" s="12"/>
      <c r="C35" s="12"/>
      <c r="D35" s="12"/>
      <c r="E35" s="12"/>
      <c r="F35" s="64" t="str">
        <f>IF(CONTROLLO!$B$13="SI", "",_xlfn.LET(_xlpm.v, _xlfn.XLOOKUP('Calcolo Asma'!$G20, Valutazioni!$A$2:$A$20, Valutazioni!$B$2:$B$20, ""),IF(AND('Calcolo Asma'!$D20&lt;&gt;"", _xlpm.v&lt;&gt;"", 'Calcolo Asma'!$D20=_xlpm.v), "X", "")))</f>
        <v/>
      </c>
      <c r="G35" s="64" t="str">
        <f>IF(CONTROLLO!$B$13="SI", "",_xlfn.LET(_xlpm.v, _xlfn.XLOOKUP('Calcolo Asma'!$G20, Valutazioni!$A$2:$A$20, Valutazioni!$C$2:$C$20, ""),IF(AND('Calcolo Asma'!$D20&lt;&gt;"", _xlpm.v&lt;&gt;"", 'Calcolo Asma'!$D20=_xlpm.v), "X", "")))</f>
        <v/>
      </c>
      <c r="H35" s="64" t="str">
        <f>IF(CONTROLLO!$B$13="SI", "",_xlfn.LET(_xlpm.v, _xlfn.XLOOKUP('Calcolo Asma'!$G20, Valutazioni!$A$2:$A$20, Valutazioni!$D$2:$D$20, ""),IF(AND('Calcolo Asma'!$D20&lt;&gt;"", _xlpm.v&lt;&gt;"", 'Calcolo Asma'!$D20=_xlpm.v), "X", "")))</f>
        <v/>
      </c>
      <c r="I35" s="64" t="str">
        <f>IF(CONTROLLO!$B$13="SI", "",_xlfn.LET(_xlpm.v, _xlfn.XLOOKUP('Calcolo Asma'!$G20, Valutazioni!$A$2:$A$20, Valutazioni!$E$2:$E$20, ""),IF(AND('Calcolo Asma'!$D20&lt;&gt;"", _xlpm.v&lt;&gt;"", 'Calcolo Asma'!$D20=_xlpm.v), "X", "")))</f>
        <v/>
      </c>
      <c r="J35" s="66" t="str">
        <f>IF(CONTROLLO!$B$13="SI", "",_xlfn.LET(_xlpm.v, _xlfn.XLOOKUP('Calcolo Asma'!$G20, Valutazioni!$A$2:$A$20, Valutazioni!$F$2:$F$20, ""),IF(AND('Calcolo Asma'!$D20&lt;&gt;"", _xlpm.v&lt;&gt;"", 'Calcolo Asma'!$D20=_xlpm.v), "X", "")))</f>
        <v/>
      </c>
    </row>
    <row r="36" spans="1:10">
      <c r="A36" s="41" t="str">
        <f>'Calcolo Asma'!F21</f>
        <v>A.M.P.L.E.</v>
      </c>
      <c r="B36" s="12"/>
      <c r="C36" s="12"/>
      <c r="D36" s="12"/>
      <c r="E36" s="12"/>
      <c r="F36" s="64" t="str">
        <f>IF(CONTROLLO!$B$13="SI", "",_xlfn.LET(_xlpm.v, _xlfn.XLOOKUP('Calcolo Asma'!$G21, Valutazioni!$A$2:$A$20, Valutazioni!$B$2:$B$20, ""),IF(AND('Calcolo Asma'!$D21&lt;&gt;"", _xlpm.v&lt;&gt;"", 'Calcolo Asma'!$D21=_xlpm.v), "X", "")))</f>
        <v/>
      </c>
      <c r="G36" s="64" t="str">
        <f>IF(CONTROLLO!$B$13="SI", "",_xlfn.LET(_xlpm.v, _xlfn.XLOOKUP('Calcolo Asma'!$G21, Valutazioni!$A$2:$A$20, Valutazioni!$C$2:$C$20, ""),IF(AND('Calcolo Asma'!$D21&lt;&gt;"", _xlpm.v&lt;&gt;"", 'Calcolo Asma'!$D21=_xlpm.v), "X", "")))</f>
        <v/>
      </c>
      <c r="H36" s="64" t="str">
        <f>IF(CONTROLLO!$B$13="SI", "",_xlfn.LET(_xlpm.v, _xlfn.XLOOKUP('Calcolo Asma'!$G21, Valutazioni!$A$2:$A$20, Valutazioni!$D$2:$D$20, ""),IF(AND('Calcolo Asma'!$D21&lt;&gt;"", _xlpm.v&lt;&gt;"", 'Calcolo Asma'!$D21=_xlpm.v), "X", "")))</f>
        <v/>
      </c>
      <c r="I36" s="64" t="str">
        <f>IF(CONTROLLO!$B$13="SI", "",_xlfn.LET(_xlpm.v, _xlfn.XLOOKUP('Calcolo Asma'!$G21, Valutazioni!$A$2:$A$20, Valutazioni!$E$2:$E$20, ""),IF(AND('Calcolo Asma'!$D21&lt;&gt;"", _xlpm.v&lt;&gt;"", 'Calcolo Asma'!$D21=_xlpm.v), "X", "")))</f>
        <v/>
      </c>
      <c r="J36" s="66" t="str">
        <f>IF(CONTROLLO!$B$13="SI", "",_xlfn.LET(_xlpm.v, _xlfn.XLOOKUP('Calcolo Asma'!$G21, Valutazioni!$A$2:$A$20, Valutazioni!$F$2:$F$20, ""),IF(AND('Calcolo Asma'!$D21&lt;&gt;"", _xlpm.v&lt;&gt;"", 'Calcolo Asma'!$D21=_xlpm.v), "X", "")))</f>
        <v/>
      </c>
    </row>
    <row r="37" spans="1:10">
      <c r="A37" s="41" t="str">
        <f>'Calcolo Asma'!F22</f>
        <v>A.M.P.L.E. Bambino - Chiede informazioni</v>
      </c>
      <c r="B37" s="12"/>
      <c r="C37" s="12"/>
      <c r="D37" s="12"/>
      <c r="E37" s="12"/>
      <c r="F37" s="64" t="str">
        <f>IF(CONTROLLO!$B$13="SI", "",_xlfn.LET(_xlpm.v, _xlfn.XLOOKUP('Calcolo Asma'!$G22, Valutazioni!$A$2:$A$20, Valutazioni!$B$2:$B$20, ""),IF(AND('Calcolo Asma'!$D22&lt;&gt;"", _xlpm.v&lt;&gt;"", 'Calcolo Asma'!$D22=_xlpm.v), "X", "")))</f>
        <v/>
      </c>
      <c r="G37" s="64" t="str">
        <f>IF(CONTROLLO!$B$13="SI", "",_xlfn.LET(_xlpm.v, _xlfn.XLOOKUP('Calcolo Asma'!$G22, Valutazioni!$A$2:$A$20, Valutazioni!$C$2:$C$20, ""),IF(AND('Calcolo Asma'!$D22&lt;&gt;"", _xlpm.v&lt;&gt;"", 'Calcolo Asma'!$D22=_xlpm.v), "X", "")))</f>
        <v/>
      </c>
      <c r="H37" s="64" t="str">
        <f>IF(CONTROLLO!$B$13="SI", "",_xlfn.LET(_xlpm.v, _xlfn.XLOOKUP('Calcolo Asma'!$G22, Valutazioni!$A$2:$A$20, Valutazioni!$D$2:$D$20, ""),IF(AND('Calcolo Asma'!$D22&lt;&gt;"", _xlpm.v&lt;&gt;"", 'Calcolo Asma'!$D22=_xlpm.v), "X", "")))</f>
        <v/>
      </c>
      <c r="I37" s="64" t="str">
        <f>IF(CONTROLLO!$B$13="SI", "",_xlfn.LET(_xlpm.v, _xlfn.XLOOKUP('Calcolo Asma'!$G22, Valutazioni!$A$2:$A$20, Valutazioni!$E$2:$E$20, ""),IF(AND('Calcolo Asma'!$D22&lt;&gt;"", _xlpm.v&lt;&gt;"", 'Calcolo Asma'!$D22=_xlpm.v), "X", "")))</f>
        <v/>
      </c>
      <c r="J37" s="66" t="str">
        <f>IF(CONTROLLO!$B$13="SI", "",_xlfn.LET(_xlpm.v, _xlfn.XLOOKUP('Calcolo Asma'!$G22, Valutazioni!$A$2:$A$20, Valutazioni!$F$2:$F$20, ""),IF(AND('Calcolo Asma'!$D22&lt;&gt;"", _xlpm.v&lt;&gt;"", 'Calcolo Asma'!$D22=_xlpm.v), "X", "")))</f>
        <v/>
      </c>
    </row>
    <row r="38" spans="1:10">
      <c r="A38" s="85" t="str">
        <f>'Calcolo Asma'!F23</f>
        <v>ATTEGGIAMENTO DEL SOCCORRITORE</v>
      </c>
      <c r="B38" s="86"/>
      <c r="C38" s="86"/>
      <c r="D38" s="86"/>
      <c r="E38" s="86"/>
      <c r="F38" s="64" t="str">
        <f>IF(CONTROLLO!$B$13="SI", "",_xlfn.LET(_xlpm.v, _xlfn.XLOOKUP('Calcolo Asma'!$G23, Valutazioni!$A$2:$A$20, Valutazioni!$B$2:$B$20, ""),IF(AND('Calcolo Asma'!$D23&lt;&gt;"", _xlpm.v&lt;&gt;"", 'Calcolo Asma'!$D23=_xlpm.v), "X", "")))</f>
        <v/>
      </c>
      <c r="G38" s="64" t="str">
        <f>IF(CONTROLLO!$B$13="SI", "",_xlfn.LET(_xlpm.v, _xlfn.XLOOKUP('Calcolo Asma'!$G23, Valutazioni!$A$2:$A$20, Valutazioni!$C$2:$C$20, ""),IF(AND('Calcolo Asma'!$D23&lt;&gt;"", _xlpm.v&lt;&gt;"", 'Calcolo Asma'!$D23=_xlpm.v), "X", "")))</f>
        <v/>
      </c>
      <c r="H38" s="64" t="str">
        <f>IF(CONTROLLO!$B$13="SI", "",_xlfn.LET(_xlpm.v, _xlfn.XLOOKUP('Calcolo Asma'!$G23, Valutazioni!$A$2:$A$20, Valutazioni!$D$2:$D$20, ""),IF(AND('Calcolo Asma'!$D23&lt;&gt;"", _xlpm.v&lt;&gt;"", 'Calcolo Asma'!$D23=_xlpm.v), "X", "")))</f>
        <v/>
      </c>
      <c r="I38" s="64" t="str">
        <f>IF(CONTROLLO!$B$13="SI", "",_xlfn.LET(_xlpm.v, _xlfn.XLOOKUP('Calcolo Asma'!$G23, Valutazioni!$A$2:$A$20, Valutazioni!$E$2:$E$20, ""),IF(AND('Calcolo Asma'!$D23&lt;&gt;"", _xlpm.v&lt;&gt;"", 'Calcolo Asma'!$D23=_xlpm.v), "X", "")))</f>
        <v/>
      </c>
      <c r="J38" s="66" t="str">
        <f>IF(CONTROLLO!$B$13="SI", "",_xlfn.LET(_xlpm.v, _xlfn.XLOOKUP('Calcolo Asma'!$G23, Valutazioni!$A$2:$A$20, Valutazioni!$F$2:$F$20, ""),IF(AND('Calcolo Asma'!$D23&lt;&gt;"", _xlpm.v&lt;&gt;"", 'Calcolo Asma'!$D23=_xlpm.v), "X", "")))</f>
        <v/>
      </c>
    </row>
    <row r="39" spans="1:10">
      <c r="A39" s="41" t="str">
        <f>'Calcolo Asma'!F24</f>
        <v>informa l’infortunato di ciò che fa</v>
      </c>
      <c r="B39" s="12"/>
      <c r="C39" s="12"/>
      <c r="D39" s="12"/>
      <c r="E39" s="12"/>
      <c r="F39" s="64" t="str">
        <f>IF(CONTROLLO!$B$13="SI", "",_xlfn.LET(_xlpm.v, _xlfn.XLOOKUP('Calcolo Asma'!$G24, Valutazioni!$A$2:$A$20, Valutazioni!$B$2:$B$20, ""),IF(AND('Calcolo Asma'!$D24&lt;&gt;"", _xlpm.v&lt;&gt;"", 'Calcolo Asma'!$D24=_xlpm.v), "X", "")))</f>
        <v/>
      </c>
      <c r="G39" s="64" t="str">
        <f>IF(CONTROLLO!$B$13="SI", "",_xlfn.LET(_xlpm.v, _xlfn.XLOOKUP('Calcolo Asma'!$G24, Valutazioni!$A$2:$A$20, Valutazioni!$C$2:$C$20, ""),IF(AND('Calcolo Asma'!$D24&lt;&gt;"", _xlpm.v&lt;&gt;"", 'Calcolo Asma'!$D24=_xlpm.v), "X", "")))</f>
        <v/>
      </c>
      <c r="H39" s="64" t="str">
        <f>IF(CONTROLLO!$B$13="SI", "",_xlfn.LET(_xlpm.v, _xlfn.XLOOKUP('Calcolo Asma'!$G24, Valutazioni!$A$2:$A$20, Valutazioni!$D$2:$D$20, ""),IF(AND('Calcolo Asma'!$D24&lt;&gt;"", _xlpm.v&lt;&gt;"", 'Calcolo Asma'!$D24=_xlpm.v), "X", "")))</f>
        <v/>
      </c>
      <c r="I39" s="64" t="str">
        <f>IF(CONTROLLO!$B$13="SI", "",_xlfn.LET(_xlpm.v, _xlfn.XLOOKUP('Calcolo Asma'!$G24, Valutazioni!$A$2:$A$20, Valutazioni!$E$2:$E$20, ""),IF(AND('Calcolo Asma'!$D24&lt;&gt;"", _xlpm.v&lt;&gt;"", 'Calcolo Asma'!$D24=_xlpm.v), "X", "")))</f>
        <v/>
      </c>
      <c r="J39" s="66" t="str">
        <f>IF(CONTROLLO!$B$13="SI", "",_xlfn.LET(_xlpm.v, _xlfn.XLOOKUP('Calcolo Asma'!$G24, Valutazioni!$A$2:$A$20, Valutazioni!$F$2:$F$20, ""),IF(AND('Calcolo Asma'!$D24&lt;&gt;"", _xlpm.v&lt;&gt;"", 'Calcolo Asma'!$D24=_xlpm.v), "X", "")))</f>
        <v/>
      </c>
    </row>
    <row r="40" spans="1:10">
      <c r="A40" s="41" t="str">
        <f>'Calcolo Asma'!F25</f>
        <v>valutazione del simulatore (ti sei sentito a tuo agio?)</v>
      </c>
      <c r="B40" s="12"/>
      <c r="C40" s="12"/>
      <c r="D40" s="12"/>
      <c r="E40" s="12"/>
      <c r="F40" s="64" t="str">
        <f>IF(CONTROLLO!$B$13="SI", "",_xlfn.LET(_xlpm.v, _xlfn.XLOOKUP('Calcolo Asma'!$G25, Valutazioni!$A$2:$A$20, Valutazioni!$B$2:$B$20, ""),IF(AND('Calcolo Asma'!$D25&lt;&gt;"", _xlpm.v&lt;&gt;"", 'Calcolo Asma'!$D25=_xlpm.v), "X", "")))</f>
        <v/>
      </c>
      <c r="G40" s="64" t="str">
        <f>IF(CONTROLLO!$B$13="SI", "",_xlfn.LET(_xlpm.v, _xlfn.XLOOKUP('Calcolo Asma'!$G25, Valutazioni!$A$2:$A$20, Valutazioni!$C$2:$C$20, ""),IF(AND('Calcolo Asma'!$D25&lt;&gt;"", _xlpm.v&lt;&gt;"", 'Calcolo Asma'!$D25=_xlpm.v), "X", "")))</f>
        <v/>
      </c>
      <c r="H40" s="64" t="str">
        <f>IF(CONTROLLO!$B$13="SI", "",_xlfn.LET(_xlpm.v, _xlfn.XLOOKUP('Calcolo Asma'!$G25, Valutazioni!$A$2:$A$20, Valutazioni!$D$2:$D$20, ""),IF(AND('Calcolo Asma'!$D25&lt;&gt;"", _xlpm.v&lt;&gt;"", 'Calcolo Asma'!$D25=_xlpm.v), "X", "")))</f>
        <v/>
      </c>
      <c r="I40" s="64" t="str">
        <f>IF(CONTROLLO!$B$13="SI", "",_xlfn.LET(_xlpm.v, _xlfn.XLOOKUP('Calcolo Asma'!$G25, Valutazioni!$A$2:$A$20, Valutazioni!$E$2:$E$20, ""),IF(AND('Calcolo Asma'!$D25&lt;&gt;"", _xlpm.v&lt;&gt;"", 'Calcolo Asma'!$D25=_xlpm.v), "X", "")))</f>
        <v/>
      </c>
      <c r="J40" s="66" t="str">
        <f>IF(CONTROLLO!$B$13="SI", "",_xlfn.LET(_xlpm.v, _xlfn.XLOOKUP('Calcolo Asma'!$G25, Valutazioni!$A$2:$A$20, Valutazioni!$F$2:$F$20, ""),IF(AND('Calcolo Asma'!$D25&lt;&gt;"", _xlpm.v&lt;&gt;"", 'Calcolo Asma'!$D25=_xlpm.v), "X", "")))</f>
        <v/>
      </c>
    </row>
    <row r="41" spans="1:10" ht="12" customHeight="1">
      <c r="A41" s="34"/>
      <c r="J41" s="36"/>
    </row>
    <row r="42" spans="1:10" ht="14.45" customHeight="1">
      <c r="A42" s="123" t="s">
        <v>765</v>
      </c>
      <c r="B42" s="116"/>
      <c r="C42" s="117"/>
      <c r="D42" s="117"/>
      <c r="E42" s="117"/>
      <c r="F42" s="117"/>
      <c r="G42" s="118"/>
      <c r="H42" s="114" t="s">
        <v>766</v>
      </c>
      <c r="I42" s="150"/>
      <c r="J42" s="151"/>
    </row>
    <row r="43" spans="1:10" ht="14.45" customHeight="1">
      <c r="A43" s="124"/>
      <c r="B43" s="119"/>
      <c r="C43" s="120"/>
      <c r="D43" s="120"/>
      <c r="E43" s="120"/>
      <c r="F43" s="120"/>
      <c r="G43" s="120"/>
      <c r="H43" s="109"/>
      <c r="I43" s="152"/>
      <c r="J43" s="153"/>
    </row>
    <row r="44" spans="1:10" ht="14.45" customHeight="1">
      <c r="A44" s="124"/>
      <c r="B44" s="119"/>
      <c r="C44" s="120"/>
      <c r="D44" s="120"/>
      <c r="E44" s="120"/>
      <c r="F44" s="120"/>
      <c r="G44" s="120"/>
      <c r="H44" s="154"/>
      <c r="I44" s="144"/>
      <c r="J44" s="155"/>
    </row>
    <row r="45" spans="1:10" ht="14.45" customHeight="1">
      <c r="A45" s="125"/>
      <c r="B45" s="121"/>
      <c r="C45" s="122"/>
      <c r="D45" s="122"/>
      <c r="E45" s="122"/>
      <c r="F45" s="122"/>
      <c r="G45" s="122"/>
      <c r="H45" s="148"/>
      <c r="I45" s="149"/>
      <c r="J45" s="156"/>
    </row>
    <row r="46" spans="1:10" ht="15">
      <c r="A46" s="103" t="s">
        <v>768</v>
      </c>
      <c r="B46" s="104"/>
      <c r="C46" s="104"/>
      <c r="D46" s="104"/>
      <c r="E46" s="104"/>
      <c r="F46" s="104"/>
      <c r="G46" s="104"/>
      <c r="H46" s="105"/>
      <c r="I46" s="105"/>
      <c r="J46" s="106"/>
    </row>
    <row r="47" spans="1:10" ht="15"/>
    <row r="48" spans="1:10" ht="15"/>
    <row r="49" ht="15"/>
    <row r="50" ht="15"/>
    <row r="51" ht="15"/>
    <row r="52" ht="15"/>
  </sheetData>
  <mergeCells count="22">
    <mergeCell ref="A46:J46"/>
    <mergeCell ref="A12:E13"/>
    <mergeCell ref="G9:J10"/>
    <mergeCell ref="H43:J45"/>
    <mergeCell ref="F9:F10"/>
    <mergeCell ref="A15:E16"/>
    <mergeCell ref="F12:F13"/>
    <mergeCell ref="G12:G13"/>
    <mergeCell ref="H12:H13"/>
    <mergeCell ref="I12:I13"/>
    <mergeCell ref="J12:J13"/>
    <mergeCell ref="H42:J42"/>
    <mergeCell ref="A9:B10"/>
    <mergeCell ref="B42:G45"/>
    <mergeCell ref="A42:A45"/>
    <mergeCell ref="C1:H2"/>
    <mergeCell ref="C3:H4"/>
    <mergeCell ref="C5:H6"/>
    <mergeCell ref="A11:B11"/>
    <mergeCell ref="C11:E11"/>
    <mergeCell ref="C9:D9"/>
    <mergeCell ref="C10:D10"/>
  </mergeCells>
  <pageMargins left="0.23622047244094499" right="0.23622047244094499" top="0.23622047244094499" bottom="0.23622047244094499" header="0.31496062992126" footer="0"/>
  <pageSetup paperSize="9" scale="96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85294A6E-6F74-432A-B832-4F42F863D218}">
            <xm:f>OR('Calcolo Asma'!$A2="",   IFERROR(INDEX(Valutazioni!$D$2:$D$20,       MATCH('Calcolo Asma'!$G2,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H17:H40</xm:sqref>
        </x14:conditionalFormatting>
        <x14:conditionalFormatting xmlns:xm="http://schemas.microsoft.com/office/excel/2006/main">
          <x14:cfRule type="expression" priority="3" id="{4B1A4CC6-7D09-4176-988B-59792F07C21C}">
            <xm:f>OR('Calcolo Asma'!$A2="",   IFERROR(INDEX(Valutazioni!$E$2:$E$20,       MATCH('Calcolo Asma'!$G2,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I17:I40</xm:sqref>
        </x14:conditionalFormatting>
        <x14:conditionalFormatting xmlns:xm="http://schemas.microsoft.com/office/excel/2006/main">
          <x14:cfRule type="expression" priority="2" id="{F7388324-87A8-45E9-B678-73B5E54A5A45}">
            <xm:f>OR('Calcolo Asma'!$A2="",   IFERROR(INDEX(Valutazioni!$F$2:$F$20,       MATCH('Calcolo Asma'!$G2,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J17:J40</xm:sqref>
        </x14:conditionalFormatting>
        <x14:conditionalFormatting xmlns:xm="http://schemas.microsoft.com/office/excel/2006/main">
          <x14:cfRule type="expression" priority="5" id="{D29F83BE-F5A2-411E-85A8-3D8E6D67D5BF}">
            <xm:f>OR('Calcolo Asma'!$A2="",   IFERROR(INDEX(Valutazioni!$C$2:$C$20,       MATCH('Calcolo Asma'!$G2,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G17:G40</xm:sqref>
        </x14:conditionalFormatting>
        <x14:conditionalFormatting xmlns:xm="http://schemas.microsoft.com/office/excel/2006/main">
          <x14:cfRule type="expression" priority="1" id="{F8265823-7161-495E-BD6F-38390451C98F}">
            <xm:f>OR('Calcolo Asma'!$A2="",   IFERROR(INDEX(Valutazioni!$B$2:$B$20,       MATCH('Calcolo Asma'!$G2, Valutazioni!$A$2:$A$20, 0)),     "")="")</xm:f>
            <x14:dxf>
              <font>
                <color rgb="FF9C0006"/>
              </font>
              <fill>
                <patternFill patternType="solid">
                  <bgColor theme="1"/>
                </patternFill>
              </fill>
            </x14:dxf>
          </x14:cfRule>
          <xm:sqref>F17:F40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0151F3F67D4E4180DBF4E6B8DB49F4" ma:contentTypeVersion="3" ma:contentTypeDescription="Create a new document." ma:contentTypeScope="" ma:versionID="085de97d900de1e6966c225ba7d97a96">
  <xsd:schema xmlns:xsd="http://www.w3.org/2001/XMLSchema" xmlns:xs="http://www.w3.org/2001/XMLSchema" xmlns:p="http://schemas.microsoft.com/office/2006/metadata/properties" xmlns:ns2="4bc20910-f63a-464f-8b4f-80a8ff8ff998" targetNamespace="http://schemas.microsoft.com/office/2006/metadata/properties" ma:root="true" ma:fieldsID="22cc83504d20efb319da1ab20fdf98b3" ns2:_="">
    <xsd:import namespace="4bc20910-f63a-464f-8b4f-80a8ff8ff9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c20910-f63a-464f-8b4f-80a8ff8ff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criptIds xmlns="http://schemas.microsoft.com/office/extensibility/maker/v1.0" id="script-ids-node-id">
  <scriptId id="ms-officescript%3A%2F%2Fonedrive_business_itemlink%2F01X4YXZZYHFSJW7BCP25BISMGS3UZFGSE2:ms-officescript%3A%2F%2Fonedrive_business_sharinglink%2Fu!aHR0cHM6Ly95bWdxbC1teS5zaGFyZXBvaW50LmNvbS86dTovZy9wZXJzb25hbC9hZG1pbl9mYnNlY3VyZV9ldS9JUUFITEpOdmhFX1hRb2t3MHQweVUwaWFBWDR2SFNJc2gzb2RPZWRTaTZSZ3BLRQ"/>
  <scriptId xmlns="" id="ms-officescript%3A%2F%2Fonedrive_business_itemlink%2F01X4YXZZYI57JYLON4YBFLUUXPTMVXIJRK:ms-officescript%3A%2F%2Fonedrive_business_sharinglink%2Fu!aHR0cHM6Ly95bWdxbC1teS5zaGFyZXBvaW50LmNvbS86dTovZy9wZXJzb25hbC9hZG1pbl9mYnNlY3VyZV9ldS9JUUFJNzlPRnViekFTcnBTNzVzcmRDWXFBZXJTNzRrZXBndmw3Y2N6XzZBbWRxQQ"/>
  <scriptId xmlns="" id="ms-officescript%3A%2F%2Fonedrive_business_itemlink%2F01X4YXZZZT4KPDX4WUTRBYVU5ZRIPVVT6W:ms-officescript%3A%2F%2Fonedrive_business_sharinglink%2Fu!aHR0cHM6Ly95bWdxbC1teS5zaGFyZXBvaW50LmNvbS86dTovZy9wZXJzb25hbC9hZG1pbl9mYnNlY3VyZV9ldS9JUUF6NHA0Nzh0U2NRNHJUdVlvZldzX1dBU0VnN0E5M1ZxY0NtRnlwMXVZMXZKNA"/>
  <scriptId xmlns="" id="ms-officescript%3A%2F%2Fonedrive_business_itemlink%2F01X4YXZZ76R2RTAR3MLJALLKKXJOCAO4UT:ms-officescript%3A%2F%2Fonedrive_business_sharinglink%2Fu!aHR0cHM6Ly95bWdxbC1teS5zaGFyZXBvaW50LmNvbS86dTovZy9wZXJzb25hbC9hZG1pbl9mYnNlY3VyZV9ldS9JUUQtanFNd1IyeGFRTFdwVjB1RUIzS1RBWXQya0M2aVpyUm11a3N4RnNRejZTRQ"/>
  <scriptId xmlns="" id="ms-officescript%3A%2F%2Fonedrive_business_itemlink%2F01X4YXZZ66SH3ANTYQ5BC36PBTMJXFPSWZ:ms-officescript%3A%2F%2Fonedrive_business_sharinglink%2Fu!aHR0cHM6Ly95bWdxbC1teS5zaGFyZXBvaW50LmNvbS86dTovZy9wZXJzb25hbC9hZG1pbl9mYnNlY3VyZV9ldS9JUURla2ZZR3p4RG9SYjg4TTJKdVY4clpBY2JoNk1KbGhNNXBSVl9zWFhleUQ1NA"/>
  <scriptId xmlns="" id="ms-officescript%3A%2F%2Fonedrive_business_itemlink%2F01X4YXZZ4PBPTLETKTLNDI3XPYXGAQUOCD:ms-officescript%3A%2F%2Fonedrive_business_sharinglink%2Fu!aHR0cHM6Ly95bWdxbC1teS5zaGFyZXBvaW50LmNvbS86dTovZy9wZXJzb25hbC9hZG1pbl9mYnNlY3VyZV9ldS9JUUNQQy1heVRWTmJSbzNkLUxtQkNqaERBWUtqa3VEb1ZzcE4yMDlNLUN0d3pWUQ"/>
  <scriptId xmlns="" id="ms-officescript%3A%2F%2Fonedrive_business_itemlink%2F01X4YXZZYTNV35YYDS35G3JIBSKB72IZ7H:ms-officescript%3A%2F%2Fonedrive_business_sharinglink%2Fu!aHR0cHM6Ly95bWdxbC1teS5zaGFyZXBvaW50LmNvbS86dTovZy9wZXJzb25hbC9hZG1pbl9mYnNlY3VyZV9ldS9JUUFUYlhmY1lITGZUYlNnTWxCX3BHZm5BUk1jVUNUbUZiQWZ4MnAzTWtHU3pUcw"/>
  <scriptId xmlns="" id="ms-officescript%3A%2F%2Fonedrive_business_itemlink%2F01X4YXZZ7LOIQB3KN3KRB3APZJBRLSPD4C:ms-officescript%3A%2F%2Fonedrive_business_sharinglink%2Fu!aHR0cHM6Ly95bWdxbC1teS5zaGFyZXBvaW50LmNvbS86dTovZy9wZXJzb25hbC9hZG1pbl9mYnNlY3VyZV9ldS9JUURyY2lBZHFidFVRN0FfS1F4WEo0LUNBYW5EeXNseWkwankwOVMxYjdlYzNwOA"/>
</scriptIds>
</file>

<file path=customXml/itemProps1.xml><?xml version="1.0" encoding="utf-8"?>
<ds:datastoreItem xmlns:ds="http://schemas.openxmlformats.org/officeDocument/2006/customXml" ds:itemID="{1DB9DF06-BE78-4CE1-BA0F-E0D5A79F79FA}"/>
</file>

<file path=customXml/itemProps2.xml><?xml version="1.0" encoding="utf-8"?>
<ds:datastoreItem xmlns:ds="http://schemas.openxmlformats.org/officeDocument/2006/customXml" ds:itemID="{FFB5A580-E30D-4A3E-A039-931373C529B2}"/>
</file>

<file path=customXml/itemProps3.xml><?xml version="1.0" encoding="utf-8"?>
<ds:datastoreItem xmlns:ds="http://schemas.openxmlformats.org/officeDocument/2006/customXml" ds:itemID="{04400BE2-0222-4659-9EE1-A88E4541D394}"/>
</file>

<file path=customXml/itemProps4.xml><?xml version="1.0" encoding="utf-8"?>
<ds:datastoreItem xmlns:ds="http://schemas.openxmlformats.org/officeDocument/2006/customXml" ds:itemID="{3743C632-75B4-4C39-B46E-CD4FF744B6F2}"/>
</file>

<file path=docMetadata/LabelInfo.xml><?xml version="1.0" encoding="utf-8"?>
<clbl:labelList xmlns:clbl="http://schemas.microsoft.com/office/2020/mipLabelMetadata">
  <clbl:label id="{defa4170-0d19-0005-0004-bc88714345d2}" enabled="1" method="Standard" siteId="{f5880ce7-4733-44d4-9e5a-68e1d99e51a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Gabriele Bonacini</dc:creator>
  <cp:keywords/>
  <dc:description/>
  <cp:lastModifiedBy/>
  <cp:revision/>
  <dcterms:created xsi:type="dcterms:W3CDTF">2017-07-24T09:06:10Z</dcterms:created>
  <dcterms:modified xsi:type="dcterms:W3CDTF">2026-10-19T15:10:55Z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0x010100B80151F3F67D4E4180DBF4E6B8DB49F4</vt:lpwstr>
  </property>
</Properties>
</file>